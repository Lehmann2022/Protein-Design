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Michelle\Documents\Universität\7. Semester_BA\Vorlagen\"/>
    </mc:Choice>
  </mc:AlternateContent>
  <xr:revisionPtr revIDLastSave="0" documentId="13_ncr:1_{6803B9D5-7076-406C-9B29-4F419BE29B4A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Sheet_Coloraa" sheetId="2" r:id="rId1"/>
    <sheet name="Mutationen_einfügen" sheetId="6" r:id="rId2"/>
    <sheet name="Mutiert" sheetId="7" r:id="rId3"/>
    <sheet name="Sheet_Mutation" sheetId="3" r:id="rId4"/>
  </sheets>
  <externalReferences>
    <externalReference r:id="rId5"/>
  </externalReferences>
  <definedNames>
    <definedName name="_xlnm._FilterDatabase" localSheetId="2" hidden="1">Mutiert!$A$1:$F$232</definedName>
    <definedName name="_Hlk89779915" localSheetId="3">Sheet_Mutation!$E$8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6" i="6" l="1"/>
  <c r="AB5" i="6"/>
  <c r="AB4" i="6"/>
  <c r="AB3" i="6"/>
  <c r="AB2" i="6"/>
  <c r="AB17" i="6"/>
  <c r="AB16" i="6"/>
  <c r="AB15" i="6"/>
  <c r="AB14" i="6"/>
  <c r="AB13" i="6"/>
  <c r="AB12" i="6"/>
  <c r="AB11" i="6"/>
  <c r="AB10" i="6"/>
  <c r="AB9" i="6"/>
  <c r="AB8" i="6"/>
  <c r="AB7" i="6"/>
  <c r="AB18" i="6"/>
  <c r="AB19" i="6"/>
  <c r="AB20" i="6"/>
  <c r="AB21" i="6"/>
  <c r="AB22" i="6"/>
  <c r="AB23" i="6"/>
  <c r="AB24" i="6"/>
  <c r="AB25" i="6"/>
  <c r="AA2" i="6"/>
  <c r="E107" i="7"/>
  <c r="E108" i="7"/>
  <c r="E109" i="7"/>
  <c r="E110" i="7"/>
  <c r="E111" i="7"/>
  <c r="E112" i="7"/>
  <c r="E113" i="7"/>
  <c r="F113" i="7" s="1"/>
  <c r="E114" i="7"/>
  <c r="F114" i="7" s="1"/>
  <c r="E115" i="7"/>
  <c r="E116" i="7"/>
  <c r="E117" i="7"/>
  <c r="E118" i="7"/>
  <c r="E119" i="7"/>
  <c r="E120" i="7"/>
  <c r="E121" i="7"/>
  <c r="F121" i="7" s="1"/>
  <c r="E122" i="7"/>
  <c r="E123" i="7"/>
  <c r="E124" i="7"/>
  <c r="E125" i="7"/>
  <c r="E126" i="7"/>
  <c r="E127" i="7"/>
  <c r="E128" i="7"/>
  <c r="E129" i="7"/>
  <c r="F129" i="7" s="1"/>
  <c r="E130" i="7"/>
  <c r="E131" i="7"/>
  <c r="E132" i="7"/>
  <c r="E133" i="7"/>
  <c r="E134" i="7"/>
  <c r="E135" i="7"/>
  <c r="E136" i="7"/>
  <c r="E137" i="7"/>
  <c r="F137" i="7" s="1"/>
  <c r="E138" i="7"/>
  <c r="F138" i="7" s="1"/>
  <c r="E139" i="7"/>
  <c r="E140" i="7"/>
  <c r="E141" i="7"/>
  <c r="E142" i="7"/>
  <c r="E143" i="7"/>
  <c r="E144" i="7"/>
  <c r="E145" i="7"/>
  <c r="F145" i="7" s="1"/>
  <c r="E146" i="7"/>
  <c r="E147" i="7"/>
  <c r="E148" i="7"/>
  <c r="E149" i="7"/>
  <c r="E150" i="7"/>
  <c r="E151" i="7"/>
  <c r="E152" i="7"/>
  <c r="E153" i="7"/>
  <c r="F153" i="7" s="1"/>
  <c r="E154" i="7"/>
  <c r="F154" i="7" s="1"/>
  <c r="E155" i="7"/>
  <c r="E156" i="7"/>
  <c r="E157" i="7"/>
  <c r="E158" i="7"/>
  <c r="E159" i="7"/>
  <c r="E160" i="7"/>
  <c r="E161" i="7"/>
  <c r="E162" i="7"/>
  <c r="F162" i="7" s="1"/>
  <c r="E163" i="7"/>
  <c r="E164" i="7"/>
  <c r="E165" i="7"/>
  <c r="E166" i="7"/>
  <c r="E167" i="7"/>
  <c r="E168" i="7"/>
  <c r="E169" i="7"/>
  <c r="F169" i="7" s="1"/>
  <c r="E170" i="7"/>
  <c r="F170" i="7" s="1"/>
  <c r="E171" i="7"/>
  <c r="E172" i="7"/>
  <c r="E173" i="7"/>
  <c r="E174" i="7"/>
  <c r="E175" i="7"/>
  <c r="E176" i="7"/>
  <c r="E177" i="7"/>
  <c r="F177" i="7" s="1"/>
  <c r="E178" i="7"/>
  <c r="F178" i="7" s="1"/>
  <c r="E179" i="7"/>
  <c r="E180" i="7"/>
  <c r="E181" i="7"/>
  <c r="E182" i="7"/>
  <c r="E183" i="7"/>
  <c r="E184" i="7"/>
  <c r="E185" i="7"/>
  <c r="E186" i="7"/>
  <c r="F186" i="7" s="1"/>
  <c r="E187" i="7"/>
  <c r="E188" i="7"/>
  <c r="E189" i="7"/>
  <c r="E190" i="7"/>
  <c r="E191" i="7"/>
  <c r="E192" i="7"/>
  <c r="E193" i="7"/>
  <c r="F193" i="7" s="1"/>
  <c r="E194" i="7"/>
  <c r="E195" i="7"/>
  <c r="E196" i="7"/>
  <c r="E197" i="7"/>
  <c r="E198" i="7"/>
  <c r="E199" i="7"/>
  <c r="E200" i="7"/>
  <c r="E201" i="7"/>
  <c r="F201" i="7" s="1"/>
  <c r="E202" i="7"/>
  <c r="F202" i="7" s="1"/>
  <c r="E203" i="7"/>
  <c r="E204" i="7"/>
  <c r="E205" i="7"/>
  <c r="E206" i="7"/>
  <c r="E207" i="7"/>
  <c r="F207" i="7" s="1"/>
  <c r="E208" i="7"/>
  <c r="E209" i="7"/>
  <c r="E210" i="7"/>
  <c r="F210" i="7" s="1"/>
  <c r="E211" i="7"/>
  <c r="E212" i="7"/>
  <c r="E213" i="7"/>
  <c r="E214" i="7"/>
  <c r="E215" i="7"/>
  <c r="E216" i="7"/>
  <c r="E217" i="7"/>
  <c r="F217" i="7" s="1"/>
  <c r="E218" i="7"/>
  <c r="F218" i="7" s="1"/>
  <c r="E219" i="7"/>
  <c r="E220" i="7"/>
  <c r="E221" i="7"/>
  <c r="E222" i="7"/>
  <c r="E223" i="7"/>
  <c r="F223" i="7" s="1"/>
  <c r="E224" i="7"/>
  <c r="E225" i="7"/>
  <c r="E226" i="7"/>
  <c r="F226" i="7" s="1"/>
  <c r="E227" i="7"/>
  <c r="E228" i="7"/>
  <c r="E229" i="7"/>
  <c r="E230" i="7"/>
  <c r="E231" i="7"/>
  <c r="E232" i="7"/>
  <c r="D107" i="7"/>
  <c r="D108" i="7"/>
  <c r="D109" i="7"/>
  <c r="D110" i="7"/>
  <c r="D111" i="7"/>
  <c r="F111" i="7" s="1"/>
  <c r="D112" i="7"/>
  <c r="F112" i="7" s="1"/>
  <c r="D113" i="7"/>
  <c r="D114" i="7"/>
  <c r="D115" i="7"/>
  <c r="D116" i="7"/>
  <c r="D117" i="7"/>
  <c r="D118" i="7"/>
  <c r="D119" i="7"/>
  <c r="F119" i="7" s="1"/>
  <c r="D120" i="7"/>
  <c r="F120" i="7" s="1"/>
  <c r="D121" i="7"/>
  <c r="D122" i="7"/>
  <c r="D123" i="7"/>
  <c r="D124" i="7"/>
  <c r="D125" i="7"/>
  <c r="D126" i="7"/>
  <c r="D127" i="7"/>
  <c r="F127" i="7" s="1"/>
  <c r="D128" i="7"/>
  <c r="F128" i="7" s="1"/>
  <c r="D129" i="7"/>
  <c r="D130" i="7"/>
  <c r="D131" i="7"/>
  <c r="D132" i="7"/>
  <c r="D133" i="7"/>
  <c r="D134" i="7"/>
  <c r="D135" i="7"/>
  <c r="F135" i="7" s="1"/>
  <c r="D136" i="7"/>
  <c r="F136" i="7" s="1"/>
  <c r="D137" i="7"/>
  <c r="D138" i="7"/>
  <c r="D139" i="7"/>
  <c r="D140" i="7"/>
  <c r="D141" i="7"/>
  <c r="D142" i="7"/>
  <c r="D143" i="7"/>
  <c r="F143" i="7" s="1"/>
  <c r="D144" i="7"/>
  <c r="F144" i="7" s="1"/>
  <c r="D145" i="7"/>
  <c r="D146" i="7"/>
  <c r="D147" i="7"/>
  <c r="D148" i="7"/>
  <c r="D149" i="7"/>
  <c r="D150" i="7"/>
  <c r="D151" i="7"/>
  <c r="F151" i="7" s="1"/>
  <c r="D152" i="7"/>
  <c r="F152" i="7" s="1"/>
  <c r="D153" i="7"/>
  <c r="D154" i="7"/>
  <c r="D155" i="7"/>
  <c r="D156" i="7"/>
  <c r="D157" i="7"/>
  <c r="D158" i="7"/>
  <c r="D159" i="7"/>
  <c r="F159" i="7" s="1"/>
  <c r="D160" i="7"/>
  <c r="F160" i="7" s="1"/>
  <c r="D161" i="7"/>
  <c r="D162" i="7"/>
  <c r="D163" i="7"/>
  <c r="D164" i="7"/>
  <c r="D165" i="7"/>
  <c r="D166" i="7"/>
  <c r="D167" i="7"/>
  <c r="F167" i="7" s="1"/>
  <c r="D168" i="7"/>
  <c r="F168" i="7" s="1"/>
  <c r="D169" i="7"/>
  <c r="D170" i="7"/>
  <c r="D171" i="7"/>
  <c r="D172" i="7"/>
  <c r="D173" i="7"/>
  <c r="D174" i="7"/>
  <c r="D175" i="7"/>
  <c r="D176" i="7"/>
  <c r="F176" i="7" s="1"/>
  <c r="D177" i="7"/>
  <c r="D178" i="7"/>
  <c r="D179" i="7"/>
  <c r="D180" i="7"/>
  <c r="D181" i="7"/>
  <c r="D182" i="7"/>
  <c r="D183" i="7"/>
  <c r="F183" i="7" s="1"/>
  <c r="D184" i="7"/>
  <c r="F184" i="7" s="1"/>
  <c r="D185" i="7"/>
  <c r="D186" i="7"/>
  <c r="D187" i="7"/>
  <c r="D188" i="7"/>
  <c r="D189" i="7"/>
  <c r="D190" i="7"/>
  <c r="D191" i="7"/>
  <c r="F191" i="7" s="1"/>
  <c r="D192" i="7"/>
  <c r="F192" i="7" s="1"/>
  <c r="D193" i="7"/>
  <c r="D194" i="7"/>
  <c r="D195" i="7"/>
  <c r="D196" i="7"/>
  <c r="D197" i="7"/>
  <c r="D198" i="7"/>
  <c r="D199" i="7"/>
  <c r="F199" i="7" s="1"/>
  <c r="D200" i="7"/>
  <c r="F200" i="7" s="1"/>
  <c r="D201" i="7"/>
  <c r="D202" i="7"/>
  <c r="D203" i="7"/>
  <c r="D204" i="7"/>
  <c r="D205" i="7"/>
  <c r="D206" i="7"/>
  <c r="D207" i="7"/>
  <c r="D208" i="7"/>
  <c r="F208" i="7" s="1"/>
  <c r="D209" i="7"/>
  <c r="D210" i="7"/>
  <c r="D211" i="7"/>
  <c r="D212" i="7"/>
  <c r="D213" i="7"/>
  <c r="D214" i="7"/>
  <c r="D215" i="7"/>
  <c r="F215" i="7" s="1"/>
  <c r="D216" i="7"/>
  <c r="F216" i="7" s="1"/>
  <c r="D217" i="7"/>
  <c r="D218" i="7"/>
  <c r="D219" i="7"/>
  <c r="D220" i="7"/>
  <c r="D221" i="7"/>
  <c r="D222" i="7"/>
  <c r="D223" i="7"/>
  <c r="D224" i="7"/>
  <c r="F224" i="7" s="1"/>
  <c r="D225" i="7"/>
  <c r="D226" i="7"/>
  <c r="D227" i="7"/>
  <c r="D228" i="7"/>
  <c r="D229" i="7"/>
  <c r="D230" i="7"/>
  <c r="D231" i="7"/>
  <c r="F231" i="7" s="1"/>
  <c r="D232" i="7"/>
  <c r="F232" i="7" s="1"/>
  <c r="B107" i="7"/>
  <c r="B108" i="7"/>
  <c r="B109" i="7"/>
  <c r="B110" i="7"/>
  <c r="B111" i="7"/>
  <c r="B112" i="7"/>
  <c r="C112" i="7" s="1"/>
  <c r="B113" i="7"/>
  <c r="B114" i="7"/>
  <c r="B115" i="7"/>
  <c r="B116" i="7"/>
  <c r="B117" i="7"/>
  <c r="B118" i="7"/>
  <c r="B119" i="7"/>
  <c r="B120" i="7"/>
  <c r="C120" i="7" s="1"/>
  <c r="B121" i="7"/>
  <c r="B122" i="7"/>
  <c r="C122" i="7" s="1"/>
  <c r="B123" i="7"/>
  <c r="B124" i="7"/>
  <c r="B125" i="7"/>
  <c r="B126" i="7"/>
  <c r="B127" i="7"/>
  <c r="B128" i="7"/>
  <c r="C128" i="7" s="1"/>
  <c r="B129" i="7"/>
  <c r="B130" i="7"/>
  <c r="C130" i="7" s="1"/>
  <c r="B131" i="7"/>
  <c r="B132" i="7"/>
  <c r="B133" i="7"/>
  <c r="B134" i="7"/>
  <c r="B135" i="7"/>
  <c r="B136" i="7"/>
  <c r="C136" i="7" s="1"/>
  <c r="B137" i="7"/>
  <c r="B138" i="7"/>
  <c r="C138" i="7" s="1"/>
  <c r="B139" i="7"/>
  <c r="B140" i="7"/>
  <c r="B141" i="7"/>
  <c r="B142" i="7"/>
  <c r="B143" i="7"/>
  <c r="B144" i="7"/>
  <c r="C144" i="7" s="1"/>
  <c r="B145" i="7"/>
  <c r="B146" i="7"/>
  <c r="C146" i="7" s="1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C160" i="7" s="1"/>
  <c r="B161" i="7"/>
  <c r="B162" i="7"/>
  <c r="B163" i="7"/>
  <c r="B164" i="7"/>
  <c r="B165" i="7"/>
  <c r="B166" i="7"/>
  <c r="B167" i="7"/>
  <c r="B168" i="7"/>
  <c r="C168" i="7" s="1"/>
  <c r="B169" i="7"/>
  <c r="B170" i="7"/>
  <c r="C170" i="7" s="1"/>
  <c r="B171" i="7"/>
  <c r="B172" i="7"/>
  <c r="B173" i="7"/>
  <c r="B174" i="7"/>
  <c r="B175" i="7"/>
  <c r="B176" i="7"/>
  <c r="B177" i="7"/>
  <c r="B178" i="7"/>
  <c r="C178" i="7" s="1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C192" i="7" s="1"/>
  <c r="B193" i="7"/>
  <c r="B194" i="7"/>
  <c r="B195" i="7"/>
  <c r="B196" i="7"/>
  <c r="B197" i="7"/>
  <c r="B198" i="7"/>
  <c r="B199" i="7"/>
  <c r="B200" i="7"/>
  <c r="C200" i="7" s="1"/>
  <c r="B201" i="7"/>
  <c r="B202" i="7"/>
  <c r="C202" i="7" s="1"/>
  <c r="B203" i="7"/>
  <c r="B204" i="7"/>
  <c r="B205" i="7"/>
  <c r="B206" i="7"/>
  <c r="B207" i="7"/>
  <c r="B208" i="7"/>
  <c r="C208" i="7" s="1"/>
  <c r="B209" i="7"/>
  <c r="B210" i="7"/>
  <c r="C210" i="7" s="1"/>
  <c r="B211" i="7"/>
  <c r="C211" i="7" s="1"/>
  <c r="B212" i="7"/>
  <c r="C212" i="7" s="1"/>
  <c r="B213" i="7"/>
  <c r="B214" i="7"/>
  <c r="B215" i="7"/>
  <c r="B216" i="7"/>
  <c r="B217" i="7"/>
  <c r="B218" i="7"/>
  <c r="B219" i="7"/>
  <c r="C219" i="7" s="1"/>
  <c r="B220" i="7"/>
  <c r="B221" i="7"/>
  <c r="B222" i="7"/>
  <c r="B223" i="7"/>
  <c r="B224" i="7"/>
  <c r="C224" i="7" s="1"/>
  <c r="B225" i="7"/>
  <c r="B226" i="7"/>
  <c r="B227" i="7"/>
  <c r="C227" i="7" s="1"/>
  <c r="B228" i="7"/>
  <c r="B229" i="7"/>
  <c r="B230" i="7"/>
  <c r="B231" i="7"/>
  <c r="B232" i="7"/>
  <c r="C232" i="7" s="1"/>
  <c r="C231" i="7"/>
  <c r="F230" i="7"/>
  <c r="C230" i="7"/>
  <c r="F229" i="7"/>
  <c r="C229" i="7"/>
  <c r="F228" i="7"/>
  <c r="C228" i="7"/>
  <c r="F227" i="7"/>
  <c r="C226" i="7"/>
  <c r="F225" i="7"/>
  <c r="C225" i="7"/>
  <c r="C223" i="7"/>
  <c r="F222" i="7"/>
  <c r="C222" i="7"/>
  <c r="F221" i="7"/>
  <c r="C221" i="7"/>
  <c r="F220" i="7"/>
  <c r="C220" i="7"/>
  <c r="F219" i="7"/>
  <c r="C218" i="7"/>
  <c r="C217" i="7"/>
  <c r="C216" i="7"/>
  <c r="C215" i="7"/>
  <c r="F214" i="7"/>
  <c r="C214" i="7"/>
  <c r="F213" i="7"/>
  <c r="C213" i="7"/>
  <c r="F212" i="7"/>
  <c r="F211" i="7"/>
  <c r="F209" i="7"/>
  <c r="C209" i="7"/>
  <c r="C207" i="7"/>
  <c r="F206" i="7"/>
  <c r="C206" i="7"/>
  <c r="F205" i="7"/>
  <c r="C205" i="7"/>
  <c r="F204" i="7"/>
  <c r="C204" i="7"/>
  <c r="F203" i="7"/>
  <c r="C203" i="7"/>
  <c r="C201" i="7"/>
  <c r="C199" i="7"/>
  <c r="F198" i="7"/>
  <c r="C198" i="7"/>
  <c r="F197" i="7"/>
  <c r="C197" i="7"/>
  <c r="F196" i="7"/>
  <c r="C196" i="7"/>
  <c r="F195" i="7"/>
  <c r="C195" i="7"/>
  <c r="F194" i="7"/>
  <c r="C194" i="7"/>
  <c r="C193" i="7"/>
  <c r="C191" i="7"/>
  <c r="F190" i="7"/>
  <c r="C190" i="7"/>
  <c r="F189" i="7"/>
  <c r="C189" i="7"/>
  <c r="F188" i="7"/>
  <c r="C188" i="7"/>
  <c r="F187" i="7"/>
  <c r="C187" i="7"/>
  <c r="C186" i="7"/>
  <c r="F185" i="7"/>
  <c r="C185" i="7"/>
  <c r="C184" i="7"/>
  <c r="C183" i="7"/>
  <c r="F182" i="7"/>
  <c r="C182" i="7"/>
  <c r="F181" i="7"/>
  <c r="C181" i="7"/>
  <c r="F180" i="7"/>
  <c r="C180" i="7"/>
  <c r="F179" i="7"/>
  <c r="C179" i="7"/>
  <c r="C177" i="7"/>
  <c r="C176" i="7"/>
  <c r="F175" i="7"/>
  <c r="C175" i="7"/>
  <c r="F174" i="7"/>
  <c r="C174" i="7"/>
  <c r="F173" i="7"/>
  <c r="C173" i="7"/>
  <c r="F172" i="7"/>
  <c r="C172" i="7"/>
  <c r="F171" i="7"/>
  <c r="C171" i="7"/>
  <c r="C169" i="7"/>
  <c r="C167" i="7"/>
  <c r="F166" i="7"/>
  <c r="C166" i="7"/>
  <c r="F165" i="7"/>
  <c r="C165" i="7"/>
  <c r="F164" i="7"/>
  <c r="C164" i="7"/>
  <c r="F163" i="7"/>
  <c r="C163" i="7"/>
  <c r="C162" i="7"/>
  <c r="F161" i="7"/>
  <c r="C161" i="7"/>
  <c r="C159" i="7"/>
  <c r="F158" i="7"/>
  <c r="C158" i="7"/>
  <c r="F157" i="7"/>
  <c r="C157" i="7"/>
  <c r="F156" i="7"/>
  <c r="C156" i="7"/>
  <c r="F155" i="7"/>
  <c r="C155" i="7"/>
  <c r="C154" i="7"/>
  <c r="C153" i="7"/>
  <c r="C152" i="7"/>
  <c r="C151" i="7"/>
  <c r="F150" i="7"/>
  <c r="C150" i="7"/>
  <c r="F149" i="7"/>
  <c r="C149" i="7"/>
  <c r="F148" i="7"/>
  <c r="C148" i="7"/>
  <c r="F147" i="7"/>
  <c r="C147" i="7"/>
  <c r="F146" i="7"/>
  <c r="C145" i="7"/>
  <c r="C143" i="7"/>
  <c r="F142" i="7"/>
  <c r="C142" i="7"/>
  <c r="F141" i="7"/>
  <c r="C141" i="7"/>
  <c r="F140" i="7"/>
  <c r="C140" i="7"/>
  <c r="F139" i="7"/>
  <c r="C139" i="7"/>
  <c r="C137" i="7"/>
  <c r="C135" i="7"/>
  <c r="F134" i="7"/>
  <c r="C134" i="7"/>
  <c r="F133" i="7"/>
  <c r="C133" i="7"/>
  <c r="F132" i="7"/>
  <c r="C132" i="7"/>
  <c r="F131" i="7"/>
  <c r="C131" i="7"/>
  <c r="F130" i="7"/>
  <c r="C129" i="7"/>
  <c r="C127" i="7"/>
  <c r="F126" i="7"/>
  <c r="C126" i="7"/>
  <c r="F125" i="7"/>
  <c r="C125" i="7"/>
  <c r="F124" i="7"/>
  <c r="C124" i="7"/>
  <c r="F123" i="7"/>
  <c r="C123" i="7"/>
  <c r="C121" i="7"/>
  <c r="C119" i="7"/>
  <c r="F118" i="7"/>
  <c r="C118" i="7"/>
  <c r="F117" i="7"/>
  <c r="C117" i="7"/>
  <c r="F116" i="7"/>
  <c r="C116" i="7"/>
  <c r="F115" i="7"/>
  <c r="C115" i="7"/>
  <c r="C114" i="7"/>
  <c r="C113" i="7"/>
  <c r="C111" i="7"/>
  <c r="F110" i="7"/>
  <c r="C110" i="7"/>
  <c r="F109" i="7"/>
  <c r="C109" i="7"/>
  <c r="F108" i="7"/>
  <c r="C108" i="7"/>
  <c r="F107" i="7"/>
  <c r="C107" i="7"/>
  <c r="E1" i="7"/>
  <c r="D1" i="7"/>
  <c r="B1" i="7"/>
  <c r="F1" i="7" l="1"/>
  <c r="F122" i="7"/>
  <c r="J173" i="6" l="1"/>
  <c r="J169" i="6"/>
  <c r="J168" i="6"/>
  <c r="I168" i="6"/>
  <c r="I167" i="6"/>
  <c r="J166" i="6"/>
  <c r="I166" i="6"/>
  <c r="I165" i="6"/>
  <c r="I163" i="6"/>
  <c r="H163" i="6"/>
  <c r="H169" i="6" s="1"/>
  <c r="J162" i="6"/>
  <c r="J161" i="6"/>
  <c r="I161" i="6"/>
  <c r="J160" i="6"/>
  <c r="I160" i="6"/>
  <c r="H160" i="6"/>
  <c r="J159" i="6"/>
  <c r="I159" i="6"/>
  <c r="J158" i="6"/>
  <c r="I158" i="6"/>
  <c r="J157" i="6"/>
  <c r="H157" i="6"/>
  <c r="I156" i="6"/>
  <c r="H156" i="6"/>
  <c r="H162" i="6" s="1"/>
  <c r="J155" i="6"/>
  <c r="I155" i="6"/>
  <c r="J154" i="6"/>
  <c r="I154" i="6"/>
  <c r="H154" i="6"/>
  <c r="J153" i="6"/>
  <c r="I153" i="6"/>
  <c r="J152" i="6"/>
  <c r="I152" i="6"/>
  <c r="J151" i="6"/>
  <c r="I151" i="6"/>
  <c r="J150" i="6"/>
  <c r="I150" i="6"/>
  <c r="J149" i="6"/>
  <c r="I149" i="6"/>
  <c r="H149" i="6"/>
  <c r="H151" i="6" s="1"/>
  <c r="J148" i="6"/>
  <c r="I148" i="6"/>
  <c r="J147" i="6"/>
  <c r="I147" i="6"/>
  <c r="J146" i="6"/>
  <c r="I146" i="6"/>
  <c r="H146" i="6"/>
  <c r="J145" i="6"/>
  <c r="I145" i="6"/>
  <c r="J144" i="6"/>
  <c r="I144" i="6"/>
  <c r="J143" i="6"/>
  <c r="I143" i="6"/>
  <c r="J142" i="6"/>
  <c r="I142" i="6"/>
  <c r="H142" i="6"/>
  <c r="H143" i="6" s="1"/>
  <c r="J141" i="6"/>
  <c r="I141" i="6"/>
  <c r="H141" i="6"/>
  <c r="J140" i="6"/>
  <c r="I140" i="6"/>
  <c r="H140" i="6"/>
  <c r="J139" i="6"/>
  <c r="I139" i="6"/>
  <c r="J138" i="6"/>
  <c r="I138" i="6"/>
  <c r="H138" i="6"/>
  <c r="J137" i="6"/>
  <c r="I137" i="6"/>
  <c r="J136" i="6"/>
  <c r="I136" i="6"/>
  <c r="J135" i="6"/>
  <c r="I135" i="6"/>
  <c r="H135" i="6"/>
  <c r="H137" i="6" s="1"/>
  <c r="J134" i="6"/>
  <c r="I134" i="6"/>
  <c r="H134" i="6"/>
  <c r="J133" i="6"/>
  <c r="I133" i="6"/>
  <c r="H133" i="6"/>
  <c r="J132" i="6"/>
  <c r="I132" i="6"/>
  <c r="H132" i="6"/>
  <c r="J131" i="6"/>
  <c r="I131" i="6"/>
  <c r="J130" i="6"/>
  <c r="I130" i="6"/>
  <c r="H130" i="6"/>
  <c r="J129" i="6"/>
  <c r="I129" i="6"/>
  <c r="J128" i="6"/>
  <c r="I128" i="6"/>
  <c r="H128" i="6"/>
  <c r="H129" i="6" s="1"/>
  <c r="J127" i="6"/>
  <c r="I127" i="6"/>
  <c r="H127" i="6"/>
  <c r="J126" i="6"/>
  <c r="I126" i="6"/>
  <c r="H126" i="6"/>
  <c r="J125" i="6"/>
  <c r="I125" i="6"/>
  <c r="H125" i="6"/>
  <c r="J124" i="6"/>
  <c r="I124" i="6"/>
  <c r="H124" i="6"/>
  <c r="J123" i="6"/>
  <c r="I123" i="6"/>
  <c r="J122" i="6"/>
  <c r="I122" i="6"/>
  <c r="H122" i="6"/>
  <c r="J121" i="6"/>
  <c r="I121" i="6"/>
  <c r="H121" i="6"/>
  <c r="H123" i="6" s="1"/>
  <c r="J120" i="6"/>
  <c r="I120" i="6"/>
  <c r="J119" i="6"/>
  <c r="I119" i="6"/>
  <c r="J118" i="6"/>
  <c r="I118" i="6"/>
  <c r="J117" i="6"/>
  <c r="I117" i="6"/>
  <c r="J116" i="6"/>
  <c r="I116" i="6"/>
  <c r="J115" i="6"/>
  <c r="I115" i="6"/>
  <c r="J114" i="6"/>
  <c r="I114" i="6"/>
  <c r="H114" i="6"/>
  <c r="H119" i="6" s="1"/>
  <c r="J113" i="6"/>
  <c r="I113" i="6"/>
  <c r="J112" i="6"/>
  <c r="I112" i="6"/>
  <c r="J111" i="6"/>
  <c r="I111" i="6"/>
  <c r="H111" i="6"/>
  <c r="J110" i="6"/>
  <c r="I110" i="6"/>
  <c r="H110" i="6"/>
  <c r="P109" i="6"/>
  <c r="J109" i="6"/>
  <c r="I109" i="6"/>
  <c r="H109" i="6"/>
  <c r="J108" i="6"/>
  <c r="I108" i="6"/>
  <c r="J107" i="6"/>
  <c r="I107" i="6"/>
  <c r="H107" i="6"/>
  <c r="H113" i="6" s="1"/>
  <c r="J106" i="6"/>
  <c r="E106" i="7" s="1"/>
  <c r="I106" i="6"/>
  <c r="D106" i="7" s="1"/>
  <c r="F106" i="7" s="1"/>
  <c r="J105" i="6"/>
  <c r="E105" i="7" s="1"/>
  <c r="F105" i="7" s="1"/>
  <c r="I105" i="6"/>
  <c r="D105" i="7" s="1"/>
  <c r="J104" i="6"/>
  <c r="E104" i="7" s="1"/>
  <c r="I104" i="6"/>
  <c r="D104" i="7" s="1"/>
  <c r="J103" i="6"/>
  <c r="E103" i="7" s="1"/>
  <c r="I103" i="6"/>
  <c r="D103" i="7" s="1"/>
  <c r="J102" i="6"/>
  <c r="E102" i="7" s="1"/>
  <c r="I102" i="6"/>
  <c r="D102" i="7" s="1"/>
  <c r="F102" i="7" s="1"/>
  <c r="J101" i="6"/>
  <c r="E101" i="7" s="1"/>
  <c r="I101" i="6"/>
  <c r="D101" i="7" s="1"/>
  <c r="J100" i="6"/>
  <c r="E100" i="7" s="1"/>
  <c r="I100" i="6"/>
  <c r="D100" i="7" s="1"/>
  <c r="H100" i="6"/>
  <c r="J99" i="6"/>
  <c r="E99" i="7" s="1"/>
  <c r="I99" i="6"/>
  <c r="D99" i="7" s="1"/>
  <c r="F99" i="7" s="1"/>
  <c r="J98" i="6"/>
  <c r="E98" i="7" s="1"/>
  <c r="I98" i="6"/>
  <c r="D98" i="7" s="1"/>
  <c r="F98" i="7" s="1"/>
  <c r="J97" i="6"/>
  <c r="E97" i="7" s="1"/>
  <c r="I97" i="6"/>
  <c r="D97" i="7" s="1"/>
  <c r="J96" i="6"/>
  <c r="E96" i="7" s="1"/>
  <c r="I96" i="6"/>
  <c r="D96" i="7" s="1"/>
  <c r="J95" i="6"/>
  <c r="E95" i="7" s="1"/>
  <c r="I95" i="6"/>
  <c r="D95" i="7" s="1"/>
  <c r="F95" i="7" s="1"/>
  <c r="J94" i="6"/>
  <c r="E94" i="7" s="1"/>
  <c r="I94" i="6"/>
  <c r="D94" i="7" s="1"/>
  <c r="F94" i="7" s="1"/>
  <c r="J93" i="6"/>
  <c r="E93" i="7" s="1"/>
  <c r="I93" i="6"/>
  <c r="D93" i="7" s="1"/>
  <c r="F93" i="7" s="1"/>
  <c r="H93" i="6"/>
  <c r="J92" i="6"/>
  <c r="E92" i="7" s="1"/>
  <c r="I92" i="6"/>
  <c r="D92" i="7" s="1"/>
  <c r="J91" i="6"/>
  <c r="E91" i="7" s="1"/>
  <c r="I91" i="6"/>
  <c r="D91" i="7" s="1"/>
  <c r="J90" i="6"/>
  <c r="E90" i="7" s="1"/>
  <c r="I90" i="6"/>
  <c r="D90" i="7" s="1"/>
  <c r="J89" i="6"/>
  <c r="E89" i="7" s="1"/>
  <c r="F89" i="7" s="1"/>
  <c r="I89" i="6"/>
  <c r="D89" i="7" s="1"/>
  <c r="J88" i="6"/>
  <c r="E88" i="7" s="1"/>
  <c r="I88" i="6"/>
  <c r="D88" i="7" s="1"/>
  <c r="J87" i="6"/>
  <c r="E87" i="7" s="1"/>
  <c r="I87" i="6"/>
  <c r="D87" i="7" s="1"/>
  <c r="F87" i="7" s="1"/>
  <c r="J86" i="6"/>
  <c r="E86" i="7" s="1"/>
  <c r="I86" i="6"/>
  <c r="D86" i="7" s="1"/>
  <c r="H86" i="6"/>
  <c r="H87" i="6" s="1"/>
  <c r="B87" i="7" s="1"/>
  <c r="C87" i="7" s="1"/>
  <c r="J85" i="6"/>
  <c r="E85" i="7" s="1"/>
  <c r="I85" i="6"/>
  <c r="D85" i="7" s="1"/>
  <c r="F85" i="7" s="1"/>
  <c r="J84" i="6"/>
  <c r="E84" i="7" s="1"/>
  <c r="I84" i="6"/>
  <c r="D84" i="7" s="1"/>
  <c r="F84" i="7" s="1"/>
  <c r="J83" i="6"/>
  <c r="E83" i="7" s="1"/>
  <c r="I83" i="6"/>
  <c r="D83" i="7" s="1"/>
  <c r="F83" i="7" s="1"/>
  <c r="J82" i="6"/>
  <c r="E82" i="7" s="1"/>
  <c r="I82" i="6"/>
  <c r="D82" i="7" s="1"/>
  <c r="F82" i="7" s="1"/>
  <c r="J81" i="6"/>
  <c r="E81" i="7" s="1"/>
  <c r="I81" i="6"/>
  <c r="D81" i="7" s="1"/>
  <c r="J80" i="6"/>
  <c r="E80" i="7" s="1"/>
  <c r="I80" i="6"/>
  <c r="D80" i="7" s="1"/>
  <c r="F80" i="7" s="1"/>
  <c r="J79" i="6"/>
  <c r="E79" i="7" s="1"/>
  <c r="I79" i="6"/>
  <c r="D79" i="7" s="1"/>
  <c r="F79" i="7" s="1"/>
  <c r="H79" i="6"/>
  <c r="H85" i="6" s="1"/>
  <c r="B85" i="7" s="1"/>
  <c r="C85" i="7" s="1"/>
  <c r="J78" i="6"/>
  <c r="E78" i="7" s="1"/>
  <c r="I78" i="6"/>
  <c r="D78" i="7" s="1"/>
  <c r="J77" i="6"/>
  <c r="E77" i="7" s="1"/>
  <c r="I77" i="6"/>
  <c r="D77" i="7" s="1"/>
  <c r="J76" i="6"/>
  <c r="E76" i="7" s="1"/>
  <c r="I76" i="6"/>
  <c r="D76" i="7" s="1"/>
  <c r="F76" i="7" s="1"/>
  <c r="J75" i="6"/>
  <c r="E75" i="7" s="1"/>
  <c r="I75" i="6"/>
  <c r="D75" i="7" s="1"/>
  <c r="J74" i="6"/>
  <c r="E74" i="7" s="1"/>
  <c r="I74" i="6"/>
  <c r="D74" i="7" s="1"/>
  <c r="J73" i="6"/>
  <c r="E73" i="7" s="1"/>
  <c r="I73" i="6"/>
  <c r="D73" i="7" s="1"/>
  <c r="J72" i="6"/>
  <c r="E72" i="7" s="1"/>
  <c r="I72" i="6"/>
  <c r="D72" i="7" s="1"/>
  <c r="F72" i="7" s="1"/>
  <c r="H72" i="6"/>
  <c r="J71" i="6"/>
  <c r="E71" i="7" s="1"/>
  <c r="I71" i="6"/>
  <c r="D71" i="7" s="1"/>
  <c r="F71" i="7" s="1"/>
  <c r="J70" i="6"/>
  <c r="E70" i="7" s="1"/>
  <c r="I70" i="6"/>
  <c r="D70" i="7" s="1"/>
  <c r="F70" i="7" s="1"/>
  <c r="J69" i="6"/>
  <c r="E69" i="7" s="1"/>
  <c r="I69" i="6"/>
  <c r="D69" i="7" s="1"/>
  <c r="F69" i="7" s="1"/>
  <c r="J68" i="6"/>
  <c r="E68" i="7" s="1"/>
  <c r="I68" i="6"/>
  <c r="D68" i="7" s="1"/>
  <c r="F68" i="7" s="1"/>
  <c r="J67" i="6"/>
  <c r="E67" i="7" s="1"/>
  <c r="I67" i="6"/>
  <c r="D67" i="7" s="1"/>
  <c r="F67" i="7" s="1"/>
  <c r="J66" i="6"/>
  <c r="E66" i="7" s="1"/>
  <c r="I66" i="6"/>
  <c r="D66" i="7" s="1"/>
  <c r="F66" i="7" s="1"/>
  <c r="J65" i="6"/>
  <c r="E65" i="7" s="1"/>
  <c r="I65" i="6"/>
  <c r="D65" i="7" s="1"/>
  <c r="F65" i="7" s="1"/>
  <c r="H65" i="6"/>
  <c r="J64" i="6"/>
  <c r="E64" i="7" s="1"/>
  <c r="I64" i="6"/>
  <c r="D64" i="7" s="1"/>
  <c r="J63" i="6"/>
  <c r="E63" i="7" s="1"/>
  <c r="I63" i="6"/>
  <c r="D63" i="7" s="1"/>
  <c r="J62" i="6"/>
  <c r="E62" i="7" s="1"/>
  <c r="I62" i="6"/>
  <c r="D62" i="7" s="1"/>
  <c r="J61" i="6"/>
  <c r="E61" i="7" s="1"/>
  <c r="I61" i="6"/>
  <c r="D61" i="7" s="1"/>
  <c r="H61" i="6"/>
  <c r="B61" i="7" s="1"/>
  <c r="C61" i="7" s="1"/>
  <c r="J60" i="6"/>
  <c r="E60" i="7" s="1"/>
  <c r="I60" i="6"/>
  <c r="D60" i="7" s="1"/>
  <c r="F60" i="7" s="1"/>
  <c r="J59" i="6"/>
  <c r="E59" i="7" s="1"/>
  <c r="I59" i="6"/>
  <c r="D59" i="7" s="1"/>
  <c r="F59" i="7" s="1"/>
  <c r="J58" i="6"/>
  <c r="E58" i="7" s="1"/>
  <c r="I58" i="6"/>
  <c r="D58" i="7" s="1"/>
  <c r="H58" i="6"/>
  <c r="J57" i="6"/>
  <c r="E57" i="7" s="1"/>
  <c r="F57" i="7" s="1"/>
  <c r="I57" i="6"/>
  <c r="D57" i="7" s="1"/>
  <c r="J56" i="6"/>
  <c r="E56" i="7" s="1"/>
  <c r="I56" i="6"/>
  <c r="D56" i="7" s="1"/>
  <c r="J55" i="6"/>
  <c r="E55" i="7" s="1"/>
  <c r="I55" i="6"/>
  <c r="D55" i="7" s="1"/>
  <c r="J54" i="6"/>
  <c r="E54" i="7" s="1"/>
  <c r="I54" i="6"/>
  <c r="D54" i="7" s="1"/>
  <c r="J53" i="6"/>
  <c r="E53" i="7" s="1"/>
  <c r="I53" i="6"/>
  <c r="D53" i="7" s="1"/>
  <c r="J52" i="6"/>
  <c r="E52" i="7" s="1"/>
  <c r="I52" i="6"/>
  <c r="D52" i="7" s="1"/>
  <c r="J51" i="6"/>
  <c r="E51" i="7" s="1"/>
  <c r="I51" i="6"/>
  <c r="D51" i="7" s="1"/>
  <c r="H51" i="6"/>
  <c r="H53" i="6" s="1"/>
  <c r="B53" i="7" s="1"/>
  <c r="C53" i="7" s="1"/>
  <c r="J50" i="6"/>
  <c r="E50" i="7" s="1"/>
  <c r="I50" i="6"/>
  <c r="D50" i="7" s="1"/>
  <c r="J49" i="6"/>
  <c r="E49" i="7" s="1"/>
  <c r="I49" i="6"/>
  <c r="D49" i="7" s="1"/>
  <c r="F49" i="7" s="1"/>
  <c r="J48" i="6"/>
  <c r="E48" i="7" s="1"/>
  <c r="I48" i="6"/>
  <c r="D48" i="7" s="1"/>
  <c r="F48" i="7" s="1"/>
  <c r="J47" i="6"/>
  <c r="E47" i="7" s="1"/>
  <c r="I47" i="6"/>
  <c r="D47" i="7" s="1"/>
  <c r="F47" i="7" s="1"/>
  <c r="J46" i="6"/>
  <c r="E46" i="7" s="1"/>
  <c r="I46" i="6"/>
  <c r="D46" i="7" s="1"/>
  <c r="F46" i="7" s="1"/>
  <c r="J45" i="6"/>
  <c r="E45" i="7" s="1"/>
  <c r="I45" i="6"/>
  <c r="D45" i="7" s="1"/>
  <c r="F45" i="7" s="1"/>
  <c r="J44" i="6"/>
  <c r="E44" i="7" s="1"/>
  <c r="I44" i="6"/>
  <c r="D44" i="7" s="1"/>
  <c r="F44" i="7" s="1"/>
  <c r="H44" i="6"/>
  <c r="J43" i="6"/>
  <c r="E43" i="7" s="1"/>
  <c r="I43" i="6"/>
  <c r="D43" i="7" s="1"/>
  <c r="F43" i="7" s="1"/>
  <c r="J42" i="6"/>
  <c r="E42" i="7" s="1"/>
  <c r="I42" i="6"/>
  <c r="D42" i="7" s="1"/>
  <c r="J41" i="6"/>
  <c r="E41" i="7" s="1"/>
  <c r="I41" i="6"/>
  <c r="D41" i="7" s="1"/>
  <c r="J40" i="6"/>
  <c r="E40" i="7" s="1"/>
  <c r="I40" i="6"/>
  <c r="D40" i="7" s="1"/>
  <c r="J39" i="6"/>
  <c r="E39" i="7" s="1"/>
  <c r="I39" i="6"/>
  <c r="D39" i="7" s="1"/>
  <c r="F39" i="7" s="1"/>
  <c r="J38" i="6"/>
  <c r="E38" i="7" s="1"/>
  <c r="I38" i="6"/>
  <c r="D38" i="7" s="1"/>
  <c r="J37" i="6"/>
  <c r="E37" i="7" s="1"/>
  <c r="I37" i="6"/>
  <c r="D37" i="7" s="1"/>
  <c r="H37" i="6"/>
  <c r="J36" i="6"/>
  <c r="E36" i="7" s="1"/>
  <c r="I36" i="6"/>
  <c r="D36" i="7" s="1"/>
  <c r="F36" i="7" s="1"/>
  <c r="J35" i="6"/>
  <c r="E35" i="7" s="1"/>
  <c r="I35" i="6"/>
  <c r="D35" i="7" s="1"/>
  <c r="F35" i="7" s="1"/>
  <c r="J34" i="6"/>
  <c r="E34" i="7" s="1"/>
  <c r="I34" i="6"/>
  <c r="D34" i="7" s="1"/>
  <c r="F34" i="7" s="1"/>
  <c r="J33" i="6"/>
  <c r="E33" i="7" s="1"/>
  <c r="I33" i="6"/>
  <c r="D33" i="7" s="1"/>
  <c r="P32" i="6"/>
  <c r="J32" i="6"/>
  <c r="E32" i="7" s="1"/>
  <c r="I32" i="6"/>
  <c r="D32" i="7" s="1"/>
  <c r="F32" i="7" s="1"/>
  <c r="R31" i="6"/>
  <c r="P31" i="6"/>
  <c r="J31" i="6"/>
  <c r="E31" i="7" s="1"/>
  <c r="I31" i="6"/>
  <c r="D31" i="7" s="1"/>
  <c r="R30" i="6"/>
  <c r="P30" i="6"/>
  <c r="J30" i="6"/>
  <c r="E30" i="7" s="1"/>
  <c r="I30" i="6"/>
  <c r="D30" i="7" s="1"/>
  <c r="F30" i="7" s="1"/>
  <c r="H30" i="6"/>
  <c r="H33" i="6" s="1"/>
  <c r="B33" i="7" s="1"/>
  <c r="C33" i="7" s="1"/>
  <c r="R29" i="6"/>
  <c r="P29" i="6"/>
  <c r="J29" i="6"/>
  <c r="E29" i="7" s="1"/>
  <c r="I29" i="6"/>
  <c r="D29" i="7" s="1"/>
  <c r="F29" i="7" s="1"/>
  <c r="R28" i="6"/>
  <c r="P28" i="6"/>
  <c r="J28" i="6"/>
  <c r="E28" i="7" s="1"/>
  <c r="I28" i="6"/>
  <c r="D28" i="7" s="1"/>
  <c r="F28" i="7" s="1"/>
  <c r="R27" i="6"/>
  <c r="P27" i="6"/>
  <c r="J27" i="6"/>
  <c r="E27" i="7" s="1"/>
  <c r="I27" i="6"/>
  <c r="D27" i="7" s="1"/>
  <c r="F27" i="7" s="1"/>
  <c r="Y26" i="6"/>
  <c r="R26" i="6"/>
  <c r="Q26" i="6"/>
  <c r="P26" i="6"/>
  <c r="J26" i="6"/>
  <c r="E26" i="7" s="1"/>
  <c r="I26" i="6"/>
  <c r="D26" i="7" s="1"/>
  <c r="AA25" i="6"/>
  <c r="Y25" i="6"/>
  <c r="R25" i="6"/>
  <c r="Q25" i="6"/>
  <c r="P25" i="6"/>
  <c r="O25" i="6"/>
  <c r="M25" i="6"/>
  <c r="J25" i="6"/>
  <c r="E25" i="7" s="1"/>
  <c r="I25" i="6"/>
  <c r="D25" i="7" s="1"/>
  <c r="F25" i="7" s="1"/>
  <c r="AM24" i="6"/>
  <c r="AI24" i="6"/>
  <c r="AG24" i="6"/>
  <c r="AH24" i="6" s="1"/>
  <c r="AA24" i="6"/>
  <c r="Z24" i="6"/>
  <c r="Y24" i="6"/>
  <c r="X24" i="6"/>
  <c r="W24" i="6"/>
  <c r="R24" i="6"/>
  <c r="Q24" i="6"/>
  <c r="P24" i="6"/>
  <c r="O24" i="6"/>
  <c r="M24" i="6"/>
  <c r="J24" i="6"/>
  <c r="E24" i="7" s="1"/>
  <c r="I24" i="6"/>
  <c r="D24" i="7" s="1"/>
  <c r="F24" i="7" s="1"/>
  <c r="AM23" i="6"/>
  <c r="AL23" i="6"/>
  <c r="AJ23" i="6"/>
  <c r="AH23" i="6"/>
  <c r="AG23" i="6"/>
  <c r="AK23" i="6" s="1"/>
  <c r="AA23" i="6"/>
  <c r="Z23" i="6"/>
  <c r="Y23" i="6"/>
  <c r="X23" i="6"/>
  <c r="W23" i="6"/>
  <c r="V23" i="6"/>
  <c r="S23" i="6"/>
  <c r="R23" i="6"/>
  <c r="Q23" i="6"/>
  <c r="P23" i="6"/>
  <c r="O23" i="6"/>
  <c r="N23" i="6"/>
  <c r="M23" i="6"/>
  <c r="J23" i="6"/>
  <c r="E23" i="7" s="1"/>
  <c r="I23" i="6"/>
  <c r="D23" i="7" s="1"/>
  <c r="H23" i="6"/>
  <c r="AM22" i="6"/>
  <c r="AL22" i="6"/>
  <c r="AJ22" i="6"/>
  <c r="AH22" i="6"/>
  <c r="AG22" i="6"/>
  <c r="AK22" i="6" s="1"/>
  <c r="AA22" i="6"/>
  <c r="Z22" i="6"/>
  <c r="Y22" i="6"/>
  <c r="X22" i="6"/>
  <c r="W22" i="6"/>
  <c r="V22" i="6"/>
  <c r="S22" i="6"/>
  <c r="R22" i="6"/>
  <c r="Q22" i="6"/>
  <c r="P22" i="6"/>
  <c r="O22" i="6"/>
  <c r="N22" i="6"/>
  <c r="M22" i="6"/>
  <c r="J22" i="6"/>
  <c r="E22" i="7" s="1"/>
  <c r="I22" i="6"/>
  <c r="D22" i="7" s="1"/>
  <c r="F22" i="7" s="1"/>
  <c r="AM21" i="6"/>
  <c r="AL21" i="6"/>
  <c r="AJ21" i="6"/>
  <c r="AH21" i="6"/>
  <c r="AG21" i="6"/>
  <c r="AK21" i="6" s="1"/>
  <c r="AA21" i="6"/>
  <c r="Z21" i="6"/>
  <c r="Y21" i="6"/>
  <c r="X21" i="6"/>
  <c r="W21" i="6"/>
  <c r="V21" i="6"/>
  <c r="S21" i="6"/>
  <c r="R21" i="6"/>
  <c r="Q21" i="6"/>
  <c r="P21" i="6"/>
  <c r="O21" i="6"/>
  <c r="N21" i="6"/>
  <c r="M21" i="6"/>
  <c r="J21" i="6"/>
  <c r="E21" i="7" s="1"/>
  <c r="I21" i="6"/>
  <c r="D21" i="7" s="1"/>
  <c r="F21" i="7" s="1"/>
  <c r="AM20" i="6"/>
  <c r="AL20" i="6"/>
  <c r="AJ20" i="6"/>
  <c r="AH20" i="6"/>
  <c r="AG20" i="6"/>
  <c r="AK20" i="6" s="1"/>
  <c r="AA20" i="6"/>
  <c r="Z20" i="6"/>
  <c r="Y20" i="6"/>
  <c r="X20" i="6"/>
  <c r="W20" i="6"/>
  <c r="V20" i="6"/>
  <c r="S20" i="6"/>
  <c r="R20" i="6"/>
  <c r="Q20" i="6"/>
  <c r="P20" i="6"/>
  <c r="O20" i="6"/>
  <c r="N20" i="6"/>
  <c r="M20" i="6"/>
  <c r="J20" i="6"/>
  <c r="E20" i="7" s="1"/>
  <c r="I20" i="6"/>
  <c r="D20" i="7" s="1"/>
  <c r="AM19" i="6"/>
  <c r="AL19" i="6"/>
  <c r="AJ19" i="6"/>
  <c r="AH19" i="6"/>
  <c r="AG19" i="6"/>
  <c r="AK19" i="6" s="1"/>
  <c r="AA19" i="6"/>
  <c r="Z19" i="6"/>
  <c r="Y19" i="6"/>
  <c r="X19" i="6"/>
  <c r="W19" i="6"/>
  <c r="V19" i="6"/>
  <c r="S19" i="6"/>
  <c r="R19" i="6"/>
  <c r="Q19" i="6"/>
  <c r="P19" i="6"/>
  <c r="O19" i="6"/>
  <c r="N19" i="6"/>
  <c r="M19" i="6"/>
  <c r="J19" i="6"/>
  <c r="E19" i="7" s="1"/>
  <c r="I19" i="6"/>
  <c r="D19" i="7" s="1"/>
  <c r="F19" i="7" s="1"/>
  <c r="AM18" i="6"/>
  <c r="AL18" i="6"/>
  <c r="AJ18" i="6"/>
  <c r="AH18" i="6"/>
  <c r="AG18" i="6"/>
  <c r="AK18" i="6" s="1"/>
  <c r="AA18" i="6"/>
  <c r="Z18" i="6"/>
  <c r="Y18" i="6"/>
  <c r="X18" i="6"/>
  <c r="W18" i="6"/>
  <c r="V18" i="6"/>
  <c r="S18" i="6"/>
  <c r="R18" i="6"/>
  <c r="Q18" i="6"/>
  <c r="P18" i="6"/>
  <c r="O18" i="6"/>
  <c r="N18" i="6"/>
  <c r="M18" i="6"/>
  <c r="J18" i="6"/>
  <c r="E18" i="7" s="1"/>
  <c r="I18" i="6"/>
  <c r="D18" i="7" s="1"/>
  <c r="AM17" i="6"/>
  <c r="AL17" i="6"/>
  <c r="AJ17" i="6"/>
  <c r="AI17" i="6"/>
  <c r="AH17" i="6"/>
  <c r="AG17" i="6"/>
  <c r="AK17" i="6" s="1"/>
  <c r="AA17" i="6"/>
  <c r="Z17" i="6"/>
  <c r="Y17" i="6"/>
  <c r="X17" i="6"/>
  <c r="W17" i="6"/>
  <c r="V17" i="6"/>
  <c r="S17" i="6"/>
  <c r="R17" i="6"/>
  <c r="Q17" i="6"/>
  <c r="P17" i="6"/>
  <c r="O17" i="6"/>
  <c r="N17" i="6"/>
  <c r="M17" i="6"/>
  <c r="J17" i="6"/>
  <c r="E17" i="7" s="1"/>
  <c r="F17" i="7" s="1"/>
  <c r="I17" i="6"/>
  <c r="D17" i="7" s="1"/>
  <c r="AM16" i="6"/>
  <c r="AL16" i="6"/>
  <c r="AJ16" i="6"/>
  <c r="AI16" i="6"/>
  <c r="AH16" i="6"/>
  <c r="AG16" i="6"/>
  <c r="AK16" i="6" s="1"/>
  <c r="AA16" i="6"/>
  <c r="Z16" i="6"/>
  <c r="Y16" i="6"/>
  <c r="X16" i="6"/>
  <c r="W16" i="6"/>
  <c r="V16" i="6"/>
  <c r="S16" i="6"/>
  <c r="R16" i="6"/>
  <c r="Q16" i="6"/>
  <c r="P16" i="6"/>
  <c r="O16" i="6"/>
  <c r="N16" i="6"/>
  <c r="M16" i="6"/>
  <c r="J16" i="6"/>
  <c r="E16" i="7" s="1"/>
  <c r="I16" i="6"/>
  <c r="D16" i="7" s="1"/>
  <c r="F16" i="7" s="1"/>
  <c r="H16" i="6"/>
  <c r="AG15" i="6"/>
  <c r="AK15" i="6" s="1"/>
  <c r="AA15" i="6"/>
  <c r="Z15" i="6"/>
  <c r="Y15" i="6"/>
  <c r="X15" i="6"/>
  <c r="W15" i="6"/>
  <c r="V15" i="6"/>
  <c r="S15" i="6"/>
  <c r="R15" i="6"/>
  <c r="Q15" i="6"/>
  <c r="P15" i="6"/>
  <c r="O15" i="6"/>
  <c r="N15" i="6"/>
  <c r="M15" i="6"/>
  <c r="J15" i="6"/>
  <c r="E15" i="7" s="1"/>
  <c r="I15" i="6"/>
  <c r="D15" i="7" s="1"/>
  <c r="AG14" i="6"/>
  <c r="AK14" i="6" s="1"/>
  <c r="AC14" i="6"/>
  <c r="AA14" i="6"/>
  <c r="Z14" i="6"/>
  <c r="Y14" i="6"/>
  <c r="X14" i="6"/>
  <c r="W14" i="6"/>
  <c r="V14" i="6"/>
  <c r="U14" i="6"/>
  <c r="S14" i="6"/>
  <c r="R14" i="6"/>
  <c r="Q14" i="6"/>
  <c r="P14" i="6"/>
  <c r="O14" i="6"/>
  <c r="N14" i="6"/>
  <c r="M14" i="6"/>
  <c r="J14" i="6"/>
  <c r="E14" i="7" s="1"/>
  <c r="I14" i="6"/>
  <c r="D14" i="7" s="1"/>
  <c r="F14" i="7" s="1"/>
  <c r="AG13" i="6"/>
  <c r="AJ13" i="6" s="1"/>
  <c r="AC13" i="6"/>
  <c r="AA13" i="6"/>
  <c r="Z13" i="6"/>
  <c r="Y13" i="6"/>
  <c r="X13" i="6"/>
  <c r="W13" i="6"/>
  <c r="V13" i="6"/>
  <c r="U13" i="6"/>
  <c r="S13" i="6"/>
  <c r="R13" i="6"/>
  <c r="Q13" i="6"/>
  <c r="P13" i="6"/>
  <c r="O13" i="6"/>
  <c r="N13" i="6"/>
  <c r="M13" i="6"/>
  <c r="J13" i="6"/>
  <c r="E13" i="7" s="1"/>
  <c r="I13" i="6"/>
  <c r="D13" i="7" s="1"/>
  <c r="F13" i="7" s="1"/>
  <c r="AP12" i="6"/>
  <c r="AG12" i="6"/>
  <c r="AO12" i="6" s="1"/>
  <c r="AC12" i="6"/>
  <c r="AA12" i="6"/>
  <c r="Z12" i="6"/>
  <c r="Y12" i="6"/>
  <c r="X12" i="6"/>
  <c r="W12" i="6"/>
  <c r="V12" i="6"/>
  <c r="U12" i="6"/>
  <c r="S12" i="6"/>
  <c r="R12" i="6"/>
  <c r="Q12" i="6"/>
  <c r="P12" i="6"/>
  <c r="O12" i="6"/>
  <c r="N12" i="6"/>
  <c r="M12" i="6"/>
  <c r="J12" i="6"/>
  <c r="E12" i="7" s="1"/>
  <c r="I12" i="6"/>
  <c r="D12" i="7" s="1"/>
  <c r="AG11" i="6"/>
  <c r="AK11" i="6" s="1"/>
  <c r="AC11" i="6"/>
  <c r="AA11" i="6"/>
  <c r="Z11" i="6"/>
  <c r="Y11" i="6"/>
  <c r="X11" i="6"/>
  <c r="W11" i="6"/>
  <c r="V11" i="6"/>
  <c r="U11" i="6"/>
  <c r="S11" i="6"/>
  <c r="R11" i="6"/>
  <c r="Q11" i="6"/>
  <c r="P11" i="6"/>
  <c r="O11" i="6"/>
  <c r="N11" i="6"/>
  <c r="M11" i="6"/>
  <c r="J11" i="6"/>
  <c r="E11" i="7" s="1"/>
  <c r="I11" i="6"/>
  <c r="D11" i="7" s="1"/>
  <c r="F11" i="7" s="1"/>
  <c r="AG10" i="6"/>
  <c r="AO10" i="6" s="1"/>
  <c r="AC10" i="6"/>
  <c r="AA10" i="6"/>
  <c r="Z10" i="6"/>
  <c r="Y10" i="6"/>
  <c r="X10" i="6"/>
  <c r="W10" i="6"/>
  <c r="V10" i="6"/>
  <c r="U10" i="6"/>
  <c r="S10" i="6"/>
  <c r="R10" i="6"/>
  <c r="Q10" i="6"/>
  <c r="P10" i="6"/>
  <c r="O10" i="6"/>
  <c r="N10" i="6"/>
  <c r="M10" i="6"/>
  <c r="J10" i="6"/>
  <c r="E10" i="7" s="1"/>
  <c r="F10" i="7" s="1"/>
  <c r="I10" i="6"/>
  <c r="D10" i="7" s="1"/>
  <c r="AG9" i="6"/>
  <c r="AN9" i="6" s="1"/>
  <c r="AC9" i="6"/>
  <c r="AA9" i="6"/>
  <c r="Z9" i="6"/>
  <c r="Y9" i="6"/>
  <c r="X9" i="6"/>
  <c r="W9" i="6"/>
  <c r="V9" i="6"/>
  <c r="U9" i="6"/>
  <c r="S9" i="6"/>
  <c r="R9" i="6"/>
  <c r="Q9" i="6"/>
  <c r="P9" i="6"/>
  <c r="O9" i="6"/>
  <c r="N9" i="6"/>
  <c r="M9" i="6"/>
  <c r="J9" i="6"/>
  <c r="E9" i="7" s="1"/>
  <c r="I9" i="6"/>
  <c r="D9" i="7" s="1"/>
  <c r="H9" i="6"/>
  <c r="H10" i="6" s="1"/>
  <c r="B10" i="7" s="1"/>
  <c r="C10" i="7" s="1"/>
  <c r="AP8" i="6"/>
  <c r="AK8" i="6"/>
  <c r="AG8" i="6"/>
  <c r="AI8" i="6" s="1"/>
  <c r="AC8" i="6"/>
  <c r="AA8" i="6"/>
  <c r="Z8" i="6"/>
  <c r="Y8" i="6"/>
  <c r="X8" i="6"/>
  <c r="W8" i="6"/>
  <c r="V8" i="6"/>
  <c r="U8" i="6"/>
  <c r="S8" i="6"/>
  <c r="R8" i="6"/>
  <c r="Q8" i="6"/>
  <c r="P8" i="6"/>
  <c r="O8" i="6"/>
  <c r="N8" i="6"/>
  <c r="M8" i="6"/>
  <c r="J8" i="6"/>
  <c r="E8" i="7" s="1"/>
  <c r="I8" i="6"/>
  <c r="D8" i="7" s="1"/>
  <c r="F8" i="7" s="1"/>
  <c r="AG7" i="6"/>
  <c r="AO7" i="6" s="1"/>
  <c r="AC7" i="6"/>
  <c r="AA7" i="6"/>
  <c r="Z7" i="6"/>
  <c r="Y7" i="6"/>
  <c r="X7" i="6"/>
  <c r="W7" i="6"/>
  <c r="V7" i="6"/>
  <c r="U7" i="6"/>
  <c r="S7" i="6"/>
  <c r="R7" i="6"/>
  <c r="Q7" i="6"/>
  <c r="P7" i="6"/>
  <c r="O7" i="6"/>
  <c r="N7" i="6"/>
  <c r="M7" i="6"/>
  <c r="J7" i="6"/>
  <c r="E7" i="7" s="1"/>
  <c r="I7" i="6"/>
  <c r="D7" i="7" s="1"/>
  <c r="AL6" i="6"/>
  <c r="AG6" i="6"/>
  <c r="AK6" i="6" s="1"/>
  <c r="AC6" i="6"/>
  <c r="AA6" i="6"/>
  <c r="Z6" i="6"/>
  <c r="Y6" i="6"/>
  <c r="X6" i="6"/>
  <c r="W6" i="6"/>
  <c r="V6" i="6"/>
  <c r="U6" i="6"/>
  <c r="S6" i="6"/>
  <c r="R6" i="6"/>
  <c r="Q6" i="6"/>
  <c r="P6" i="6"/>
  <c r="O6" i="6"/>
  <c r="N6" i="6"/>
  <c r="M6" i="6"/>
  <c r="J6" i="6"/>
  <c r="E6" i="7" s="1"/>
  <c r="I6" i="6"/>
  <c r="D6" i="7" s="1"/>
  <c r="AG5" i="6"/>
  <c r="AJ5" i="6" s="1"/>
  <c r="AC5" i="6"/>
  <c r="AA5" i="6"/>
  <c r="Z5" i="6"/>
  <c r="Y5" i="6"/>
  <c r="X5" i="6"/>
  <c r="W5" i="6"/>
  <c r="V5" i="6"/>
  <c r="U5" i="6"/>
  <c r="S5" i="6"/>
  <c r="R5" i="6"/>
  <c r="Q5" i="6"/>
  <c r="P5" i="6"/>
  <c r="O5" i="6"/>
  <c r="N5" i="6"/>
  <c r="M5" i="6"/>
  <c r="J5" i="6"/>
  <c r="E5" i="7" s="1"/>
  <c r="I5" i="6"/>
  <c r="D5" i="7" s="1"/>
  <c r="F5" i="7" s="1"/>
  <c r="AH4" i="6"/>
  <c r="AG4" i="6"/>
  <c r="AO4" i="6" s="1"/>
  <c r="AC4" i="6"/>
  <c r="AA4" i="6"/>
  <c r="Z4" i="6"/>
  <c r="Y4" i="6"/>
  <c r="X4" i="6"/>
  <c r="W4" i="6"/>
  <c r="V4" i="6"/>
  <c r="U4" i="6"/>
  <c r="S4" i="6"/>
  <c r="R4" i="6"/>
  <c r="Q4" i="6"/>
  <c r="P4" i="6"/>
  <c r="O4" i="6"/>
  <c r="N4" i="6"/>
  <c r="M4" i="6"/>
  <c r="J4" i="6"/>
  <c r="E4" i="7" s="1"/>
  <c r="I4" i="6"/>
  <c r="D4" i="7" s="1"/>
  <c r="F4" i="7" s="1"/>
  <c r="AG3" i="6"/>
  <c r="AK3" i="6" s="1"/>
  <c r="AC3" i="6"/>
  <c r="AA3" i="6"/>
  <c r="Z3" i="6"/>
  <c r="Y3" i="6"/>
  <c r="X3" i="6"/>
  <c r="W3" i="6"/>
  <c r="V3" i="6"/>
  <c r="U3" i="6"/>
  <c r="S3" i="6"/>
  <c r="R3" i="6"/>
  <c r="Q3" i="6"/>
  <c r="P3" i="6"/>
  <c r="O3" i="6"/>
  <c r="N3" i="6"/>
  <c r="M3" i="6"/>
  <c r="J3" i="6"/>
  <c r="E3" i="7" s="1"/>
  <c r="I3" i="6"/>
  <c r="D3" i="7" s="1"/>
  <c r="AN2" i="6"/>
  <c r="AG2" i="6"/>
  <c r="AO2" i="6" s="1"/>
  <c r="AC2" i="6"/>
  <c r="Z2" i="6"/>
  <c r="Y2" i="6"/>
  <c r="X2" i="6"/>
  <c r="W2" i="6"/>
  <c r="V2" i="6"/>
  <c r="U2" i="6"/>
  <c r="S2" i="6"/>
  <c r="R2" i="6"/>
  <c r="Q2" i="6"/>
  <c r="P2" i="6"/>
  <c r="O2" i="6"/>
  <c r="N2" i="6"/>
  <c r="M2" i="6"/>
  <c r="J2" i="6"/>
  <c r="E2" i="7" s="1"/>
  <c r="I2" i="6"/>
  <c r="D2" i="7" s="1"/>
  <c r="F2" i="7" s="1"/>
  <c r="H2" i="6"/>
  <c r="AG1" i="6"/>
  <c r="AN1" i="6" s="1"/>
  <c r="F54" i="7" l="1"/>
  <c r="F61" i="7"/>
  <c r="F91" i="7"/>
  <c r="F73" i="7"/>
  <c r="F6" i="7"/>
  <c r="F15" i="7"/>
  <c r="F20" i="7"/>
  <c r="F23" i="7"/>
  <c r="F26" i="7"/>
  <c r="F38" i="7"/>
  <c r="F42" i="7"/>
  <c r="F53" i="7"/>
  <c r="F64" i="7"/>
  <c r="F75" i="7"/>
  <c r="F86" i="7"/>
  <c r="F90" i="7"/>
  <c r="F97" i="7"/>
  <c r="F101" i="7"/>
  <c r="F50" i="7"/>
  <c r="F7" i="7"/>
  <c r="F40" i="7"/>
  <c r="F51" i="7"/>
  <c r="F55" i="7"/>
  <c r="F58" i="7"/>
  <c r="F62" i="7"/>
  <c r="F77" i="7"/>
  <c r="F88" i="7"/>
  <c r="F92" i="7"/>
  <c r="F103" i="7"/>
  <c r="F96" i="7"/>
  <c r="F3" i="7"/>
  <c r="F9" i="7"/>
  <c r="F12" i="7"/>
  <c r="F18" i="7"/>
  <c r="F31" i="7"/>
  <c r="F33" i="7"/>
  <c r="F37" i="7"/>
  <c r="F41" i="7"/>
  <c r="F52" i="7"/>
  <c r="F56" i="7"/>
  <c r="F63" i="7"/>
  <c r="F74" i="7"/>
  <c r="F78" i="7"/>
  <c r="F81" i="7"/>
  <c r="F100" i="7"/>
  <c r="F104" i="7"/>
  <c r="H12" i="6"/>
  <c r="B12" i="7" s="1"/>
  <c r="C12" i="7" s="1"/>
  <c r="H14" i="6"/>
  <c r="B14" i="7" s="1"/>
  <c r="C14" i="7" s="1"/>
  <c r="AJ2" i="6"/>
  <c r="AK2" i="6"/>
  <c r="AH2" i="6"/>
  <c r="AL2" i="6"/>
  <c r="AH6" i="6"/>
  <c r="AH8" i="6"/>
  <c r="AM2" i="6"/>
  <c r="H48" i="6"/>
  <c r="B48" i="7" s="1"/>
  <c r="C48" i="7" s="1"/>
  <c r="B44" i="7"/>
  <c r="C44" i="7" s="1"/>
  <c r="AI7" i="6"/>
  <c r="AL8" i="6"/>
  <c r="AL11" i="6"/>
  <c r="AI15" i="6"/>
  <c r="H27" i="6"/>
  <c r="B27" i="7" s="1"/>
  <c r="C27" i="7" s="1"/>
  <c r="B23" i="7"/>
  <c r="C23" i="7" s="1"/>
  <c r="H55" i="6"/>
  <c r="B55" i="7" s="1"/>
  <c r="C55" i="7" s="1"/>
  <c r="AM7" i="6"/>
  <c r="AN8" i="6"/>
  <c r="AM11" i="6"/>
  <c r="AJ15" i="6"/>
  <c r="H76" i="6"/>
  <c r="B76" i="7" s="1"/>
  <c r="C76" i="7" s="1"/>
  <c r="B72" i="7"/>
  <c r="C72" i="7" s="1"/>
  <c r="AP7" i="6"/>
  <c r="H21" i="6"/>
  <c r="B21" i="7" s="1"/>
  <c r="C21" i="7" s="1"/>
  <c r="B16" i="7"/>
  <c r="C16" i="7" s="1"/>
  <c r="H34" i="6"/>
  <c r="B34" i="7" s="1"/>
  <c r="C34" i="7" s="1"/>
  <c r="B30" i="7"/>
  <c r="C30" i="7" s="1"/>
  <c r="H6" i="6"/>
  <c r="B6" i="7" s="1"/>
  <c r="C6" i="7" s="1"/>
  <c r="B2" i="7"/>
  <c r="C2" i="7" s="1"/>
  <c r="H3" i="6"/>
  <c r="B3" i="7" s="1"/>
  <c r="C3" i="7" s="1"/>
  <c r="AN6" i="6"/>
  <c r="H13" i="6"/>
  <c r="B13" i="7" s="1"/>
  <c r="C13" i="7" s="1"/>
  <c r="B9" i="7"/>
  <c r="C9" i="7" s="1"/>
  <c r="AM10" i="6"/>
  <c r="H46" i="6"/>
  <c r="B46" i="7" s="1"/>
  <c r="C46" i="7" s="1"/>
  <c r="H74" i="6"/>
  <c r="B74" i="7" s="1"/>
  <c r="C74" i="7" s="1"/>
  <c r="H81" i="6"/>
  <c r="B81" i="7" s="1"/>
  <c r="C81" i="7" s="1"/>
  <c r="AP6" i="6"/>
  <c r="H82" i="6"/>
  <c r="B82" i="7" s="1"/>
  <c r="C82" i="7" s="1"/>
  <c r="B79" i="7"/>
  <c r="C79" i="7" s="1"/>
  <c r="H102" i="6"/>
  <c r="B102" i="7" s="1"/>
  <c r="C102" i="7" s="1"/>
  <c r="B100" i="7"/>
  <c r="C100" i="7" s="1"/>
  <c r="H52" i="6"/>
  <c r="B52" i="7" s="1"/>
  <c r="C52" i="7" s="1"/>
  <c r="B51" i="7"/>
  <c r="C51" i="7" s="1"/>
  <c r="AI11" i="6"/>
  <c r="AH15" i="6"/>
  <c r="H42" i="6"/>
  <c r="B42" i="7" s="1"/>
  <c r="C42" i="7" s="1"/>
  <c r="B37" i="7"/>
  <c r="C37" i="7" s="1"/>
  <c r="H60" i="6"/>
  <c r="B60" i="7" s="1"/>
  <c r="C60" i="7" s="1"/>
  <c r="B58" i="7"/>
  <c r="C58" i="7" s="1"/>
  <c r="H66" i="6"/>
  <c r="B66" i="7" s="1"/>
  <c r="C66" i="7" s="1"/>
  <c r="B65" i="7"/>
  <c r="C65" i="7" s="1"/>
  <c r="H92" i="6"/>
  <c r="B92" i="7" s="1"/>
  <c r="C92" i="7" s="1"/>
  <c r="B86" i="7"/>
  <c r="C86" i="7" s="1"/>
  <c r="H98" i="6"/>
  <c r="B98" i="7" s="1"/>
  <c r="C98" i="7" s="1"/>
  <c r="B93" i="7"/>
  <c r="C93" i="7" s="1"/>
  <c r="AI3" i="6"/>
  <c r="AL4" i="6"/>
  <c r="H8" i="6"/>
  <c r="B8" i="7" s="1"/>
  <c r="C8" i="7" s="1"/>
  <c r="AN10" i="6"/>
  <c r="AH14" i="6"/>
  <c r="H49" i="6"/>
  <c r="B49" i="7" s="1"/>
  <c r="C49" i="7" s="1"/>
  <c r="H90" i="6"/>
  <c r="B90" i="7" s="1"/>
  <c r="C90" i="7" s="1"/>
  <c r="H103" i="6"/>
  <c r="B103" i="7" s="1"/>
  <c r="C103" i="7" s="1"/>
  <c r="AL3" i="6"/>
  <c r="AI14" i="6"/>
  <c r="H106" i="6"/>
  <c r="B106" i="7" s="1"/>
  <c r="C106" i="7" s="1"/>
  <c r="AH10" i="6"/>
  <c r="H11" i="6"/>
  <c r="B11" i="7" s="1"/>
  <c r="C11" i="7" s="1"/>
  <c r="AJ14" i="6"/>
  <c r="AL15" i="6"/>
  <c r="H47" i="6"/>
  <c r="B47" i="7" s="1"/>
  <c r="C47" i="7" s="1"/>
  <c r="H69" i="6"/>
  <c r="B69" i="7" s="1"/>
  <c r="C69" i="7" s="1"/>
  <c r="H88" i="6"/>
  <c r="B88" i="7" s="1"/>
  <c r="C88" i="7" s="1"/>
  <c r="AP4" i="6"/>
  <c r="AP10" i="6"/>
  <c r="AM3" i="6"/>
  <c r="AI6" i="6"/>
  <c r="AP2" i="6"/>
  <c r="H4" i="6"/>
  <c r="B4" i="7" s="1"/>
  <c r="C4" i="7" s="1"/>
  <c r="AJ6" i="6"/>
  <c r="AH7" i="6"/>
  <c r="AI10" i="6"/>
  <c r="AK13" i="6"/>
  <c r="AL14" i="6"/>
  <c r="AM15" i="6"/>
  <c r="H50" i="6"/>
  <c r="B50" i="7" s="1"/>
  <c r="C50" i="7" s="1"/>
  <c r="H91" i="6"/>
  <c r="B91" i="7" s="1"/>
  <c r="C91" i="7" s="1"/>
  <c r="H101" i="6"/>
  <c r="B101" i="7" s="1"/>
  <c r="C101" i="7" s="1"/>
  <c r="H104" i="6"/>
  <c r="B104" i="7" s="1"/>
  <c r="C104" i="7" s="1"/>
  <c r="AM14" i="6"/>
  <c r="H45" i="6"/>
  <c r="B45" i="7" s="1"/>
  <c r="C45" i="7" s="1"/>
  <c r="H63" i="6"/>
  <c r="B63" i="7" s="1"/>
  <c r="C63" i="7" s="1"/>
  <c r="H73" i="6"/>
  <c r="B73" i="7" s="1"/>
  <c r="C73" i="7" s="1"/>
  <c r="AJ10" i="6"/>
  <c r="AI2" i="6"/>
  <c r="AK5" i="6"/>
  <c r="AM6" i="6"/>
  <c r="AK7" i="6"/>
  <c r="AJ8" i="6"/>
  <c r="AK10" i="6"/>
  <c r="AH12" i="6"/>
  <c r="H15" i="6"/>
  <c r="B15" i="7" s="1"/>
  <c r="C15" i="7" s="1"/>
  <c r="H32" i="6"/>
  <c r="B32" i="7" s="1"/>
  <c r="C32" i="7" s="1"/>
  <c r="H57" i="6"/>
  <c r="B57" i="7" s="1"/>
  <c r="C57" i="7" s="1"/>
  <c r="H89" i="6"/>
  <c r="B89" i="7" s="1"/>
  <c r="C89" i="7" s="1"/>
  <c r="AL10" i="6"/>
  <c r="AL12" i="6"/>
  <c r="H77" i="6"/>
  <c r="B77" i="7" s="1"/>
  <c r="C77" i="7" s="1"/>
  <c r="H105" i="6"/>
  <c r="B105" i="7" s="1"/>
  <c r="C105" i="7" s="1"/>
  <c r="H167" i="6"/>
  <c r="H18" i="6"/>
  <c r="B18" i="7" s="1"/>
  <c r="C18" i="7" s="1"/>
  <c r="H19" i="6"/>
  <c r="B19" i="7" s="1"/>
  <c r="C19" i="7" s="1"/>
  <c r="H20" i="6"/>
  <c r="B20" i="7" s="1"/>
  <c r="C20" i="7" s="1"/>
  <c r="H22" i="6"/>
  <c r="B22" i="7" s="1"/>
  <c r="C22" i="7" s="1"/>
  <c r="H24" i="6"/>
  <c r="B24" i="7" s="1"/>
  <c r="C24" i="7" s="1"/>
  <c r="H26" i="6"/>
  <c r="B26" i="7" s="1"/>
  <c r="C26" i="7" s="1"/>
  <c r="AH1" i="6"/>
  <c r="AP1" i="6"/>
  <c r="AN3" i="6"/>
  <c r="AI4" i="6"/>
  <c r="H5" i="6"/>
  <c r="B5" i="7" s="1"/>
  <c r="C5" i="7" s="1"/>
  <c r="AL5" i="6"/>
  <c r="AO6" i="6"/>
  <c r="AJ7" i="6"/>
  <c r="AM8" i="6"/>
  <c r="AH9" i="6"/>
  <c r="AP9" i="6"/>
  <c r="AN11" i="6"/>
  <c r="AI12" i="6"/>
  <c r="AL13" i="6"/>
  <c r="AJ24" i="6"/>
  <c r="H29" i="6"/>
  <c r="B29" i="7" s="1"/>
  <c r="C29" i="7" s="1"/>
  <c r="H40" i="6"/>
  <c r="B40" i="7" s="1"/>
  <c r="C40" i="7" s="1"/>
  <c r="H56" i="6"/>
  <c r="B56" i="7" s="1"/>
  <c r="C56" i="7" s="1"/>
  <c r="H64" i="6"/>
  <c r="B64" i="7" s="1"/>
  <c r="C64" i="7" s="1"/>
  <c r="H80" i="6"/>
  <c r="B80" i="7" s="1"/>
  <c r="C80" i="7" s="1"/>
  <c r="H96" i="6"/>
  <c r="B96" i="7" s="1"/>
  <c r="C96" i="7" s="1"/>
  <c r="H117" i="6"/>
  <c r="AO9" i="6"/>
  <c r="AI1" i="6"/>
  <c r="AO3" i="6"/>
  <c r="AJ4" i="6"/>
  <c r="AM5" i="6"/>
  <c r="AI9" i="6"/>
  <c r="AO11" i="6"/>
  <c r="AJ12" i="6"/>
  <c r="AM13" i="6"/>
  <c r="AK24" i="6"/>
  <c r="H35" i="6"/>
  <c r="B35" i="7" s="1"/>
  <c r="C35" i="7" s="1"/>
  <c r="H43" i="6"/>
  <c r="B43" i="7" s="1"/>
  <c r="C43" i="7" s="1"/>
  <c r="H59" i="6"/>
  <c r="B59" i="7" s="1"/>
  <c r="C59" i="7" s="1"/>
  <c r="H67" i="6"/>
  <c r="B67" i="7" s="1"/>
  <c r="C67" i="7" s="1"/>
  <c r="H75" i="6"/>
  <c r="B75" i="7" s="1"/>
  <c r="C75" i="7" s="1"/>
  <c r="H83" i="6"/>
  <c r="B83" i="7" s="1"/>
  <c r="C83" i="7" s="1"/>
  <c r="H99" i="6"/>
  <c r="B99" i="7" s="1"/>
  <c r="C99" i="7" s="1"/>
  <c r="H112" i="6"/>
  <c r="H120" i="6"/>
  <c r="H136" i="6"/>
  <c r="H144" i="6"/>
  <c r="H152" i="6"/>
  <c r="H158" i="6"/>
  <c r="H164" i="6"/>
  <c r="H168" i="6"/>
  <c r="H17" i="6"/>
  <c r="B17" i="7" s="1"/>
  <c r="C17" i="7" s="1"/>
  <c r="AJ1" i="6"/>
  <c r="AH3" i="6"/>
  <c r="AP3" i="6"/>
  <c r="AK4" i="6"/>
  <c r="AN5" i="6"/>
  <c r="H7" i="6"/>
  <c r="B7" i="7" s="1"/>
  <c r="C7" i="7" s="1"/>
  <c r="AL7" i="6"/>
  <c r="AO8" i="6"/>
  <c r="AJ9" i="6"/>
  <c r="AH11" i="6"/>
  <c r="AP11" i="6"/>
  <c r="AK12" i="6"/>
  <c r="AN13" i="6"/>
  <c r="AI18" i="6"/>
  <c r="AI19" i="6"/>
  <c r="AI20" i="6"/>
  <c r="AI21" i="6"/>
  <c r="AI22" i="6"/>
  <c r="AI23" i="6"/>
  <c r="AL24" i="6"/>
  <c r="H31" i="6"/>
  <c r="B31" i="7" s="1"/>
  <c r="C31" i="7" s="1"/>
  <c r="H38" i="6"/>
  <c r="B38" i="7" s="1"/>
  <c r="C38" i="7" s="1"/>
  <c r="H54" i="6"/>
  <c r="B54" i="7" s="1"/>
  <c r="C54" i="7" s="1"/>
  <c r="H62" i="6"/>
  <c r="B62" i="7" s="1"/>
  <c r="C62" i="7" s="1"/>
  <c r="H70" i="6"/>
  <c r="B70" i="7" s="1"/>
  <c r="C70" i="7" s="1"/>
  <c r="H78" i="6"/>
  <c r="B78" i="7" s="1"/>
  <c r="C78" i="7" s="1"/>
  <c r="H94" i="6"/>
  <c r="B94" i="7" s="1"/>
  <c r="C94" i="7" s="1"/>
  <c r="H115" i="6"/>
  <c r="H131" i="6"/>
  <c r="H139" i="6"/>
  <c r="H147" i="6"/>
  <c r="H155" i="6"/>
  <c r="H161" i="6"/>
  <c r="H165" i="6"/>
  <c r="H97" i="6"/>
  <c r="B97" i="7" s="1"/>
  <c r="C97" i="7" s="1"/>
  <c r="H118" i="6"/>
  <c r="H150" i="6"/>
  <c r="AO5" i="6"/>
  <c r="AK9" i="6"/>
  <c r="AO13" i="6"/>
  <c r="H28" i="6"/>
  <c r="B28" i="7" s="1"/>
  <c r="C28" i="7" s="1"/>
  <c r="H41" i="6"/>
  <c r="B41" i="7" s="1"/>
  <c r="C41" i="7" s="1"/>
  <c r="AL1" i="6"/>
  <c r="AJ3" i="6"/>
  <c r="AM4" i="6"/>
  <c r="AH5" i="6"/>
  <c r="AP5" i="6"/>
  <c r="AN7" i="6"/>
  <c r="AL9" i="6"/>
  <c r="AJ11" i="6"/>
  <c r="AM12" i="6"/>
  <c r="AH13" i="6"/>
  <c r="AP13" i="6"/>
  <c r="H25" i="6"/>
  <c r="B25" i="7" s="1"/>
  <c r="C25" i="7" s="1"/>
  <c r="H36" i="6"/>
  <c r="B36" i="7" s="1"/>
  <c r="C36" i="7" s="1"/>
  <c r="H68" i="6"/>
  <c r="B68" i="7" s="1"/>
  <c r="C68" i="7" s="1"/>
  <c r="H84" i="6"/>
  <c r="B84" i="7" s="1"/>
  <c r="C84" i="7" s="1"/>
  <c r="H108" i="6"/>
  <c r="H145" i="6"/>
  <c r="H153" i="6"/>
  <c r="H159" i="6"/>
  <c r="H166" i="6"/>
  <c r="AK1" i="6"/>
  <c r="AM1" i="6"/>
  <c r="AN4" i="6"/>
  <c r="AI5" i="6"/>
  <c r="AM9" i="6"/>
  <c r="AN12" i="6"/>
  <c r="AI13" i="6"/>
  <c r="H39" i="6"/>
  <c r="B39" i="7" s="1"/>
  <c r="C39" i="7" s="1"/>
  <c r="H71" i="6"/>
  <c r="B71" i="7" s="1"/>
  <c r="C71" i="7" s="1"/>
  <c r="H95" i="6"/>
  <c r="B95" i="7" s="1"/>
  <c r="C95" i="7" s="1"/>
  <c r="H116" i="6"/>
  <c r="H148" i="6"/>
  <c r="AO1" i="6"/>
</calcChain>
</file>

<file path=xl/sharedStrings.xml><?xml version="1.0" encoding="utf-8"?>
<sst xmlns="http://schemas.openxmlformats.org/spreadsheetml/2006/main" count="83" uniqueCount="63">
  <si>
    <t>Sauer</t>
  </si>
  <si>
    <t>Position</t>
  </si>
  <si>
    <t>Ursprung</t>
  </si>
  <si>
    <t>Mutation</t>
  </si>
  <si>
    <t>Original</t>
  </si>
  <si>
    <t>Mutierte</t>
  </si>
  <si>
    <t>zu</t>
  </si>
  <si>
    <t>SGQIPALFSKLESLTYLSLQGNKFNGSIPASLKSLSLLNTFDISDNLLTGTIPGELLASL</t>
  </si>
  <si>
    <t>KNMQLYLNFSNNLLTGTIPKELGKLEMVQEIDLSNNLFSGSIPRSLQACKNVFTLDFSQN</t>
  </si>
  <si>
    <t>NLSGHIPDEVFQGMDMIISLNLSRNSFSGEIPQSFGNMTHLVSLDLSSNNLTGEIPESLA</t>
  </si>
  <si>
    <t>Hydrophil</t>
  </si>
  <si>
    <t>Hydrophob</t>
  </si>
  <si>
    <t>Basisch</t>
  </si>
  <si>
    <t>KQSFEPEIEALKSFKNGISNDPLGVLSDWTIIGSLRHCNWTGITCDSTGHVVSVSLLEKQ</t>
  </si>
  <si>
    <t>LEGVLSPAIANLTYLQVLDLTSNSFTGKIPAEIGKLTELNQLILYLNYFSGSIPSGIWEL</t>
  </si>
  <si>
    <t>KNIFYLDLRNNLLSGDVPEEICKTSSLVLIGFDYNNLTGKIPECLGDLVHLQMFVAAGNH</t>
  </si>
  <si>
    <t>LTGSIPVSIGTLANLTDLDLSGNQLTGKIPRDFGNLLNLQSLVLTENLLEGDIPAEIGNC</t>
  </si>
  <si>
    <t>SSLVQLELYDNQLTGKIPAELGNLVQLQALRIYKNKLTSSIPSSLFRLTQLTHLGLSENH</t>
  </si>
  <si>
    <t>LVGPISEEIGFLESLEVLTLHSNNFTGEFPQSITNLRNLTVLTVGFNNISGELPADLGLL</t>
  </si>
  <si>
    <t>TNLRNLSAHDNLLTGPIPSSISNCTGLKLLDLSHNQMTGEIPRGFGRMNLTFISIGRNHF</t>
  </si>
  <si>
    <t>TGEIPDDIFNCSNLETLSVADNNLTGTLKPLIGKLQKLRILQVSYNSLTGPIPREIGNLK</t>
  </si>
  <si>
    <t>DLNILYLHSNGFTGRIPREMSNLTLLQGLRMYSNDLEGPIPEEMFDMKLLSVLDLSNNKF</t>
  </si>
  <si>
    <t>NLSTLKHLKLASNNLKGHVPESGVFKNINASDLMGNTDLCG</t>
  </si>
  <si>
    <t>BindingSiteA</t>
  </si>
  <si>
    <t>BindingSiteB</t>
  </si>
  <si>
    <t>renumber</t>
  </si>
  <si>
    <t>Number</t>
  </si>
  <si>
    <t>renumberd</t>
  </si>
  <si>
    <t>From</t>
  </si>
  <si>
    <t>To</t>
  </si>
  <si>
    <t>Position von</t>
  </si>
  <si>
    <t>Bis Position</t>
  </si>
  <si>
    <t>Mutation von</t>
  </si>
  <si>
    <t>Plus</t>
  </si>
  <si>
    <t>-&gt;</t>
  </si>
  <si>
    <t>V</t>
  </si>
  <si>
    <t>T</t>
  </si>
  <si>
    <t>QALRIYK</t>
  </si>
  <si>
    <t>THLGLSE</t>
  </si>
  <si>
    <t>TVG</t>
  </si>
  <si>
    <t>TLS</t>
  </si>
  <si>
    <r>
      <t>IAA</t>
    </r>
    <r>
      <rPr>
        <sz val="11"/>
        <color indexed="39"/>
        <rFont val="Calibri"/>
        <family val="2"/>
        <scheme val="minor"/>
      </rPr>
      <t>R</t>
    </r>
    <r>
      <rPr>
        <sz val="11"/>
        <color indexed="14"/>
        <rFont val="Calibri"/>
        <family val="2"/>
        <scheme val="minor"/>
      </rPr>
      <t>D</t>
    </r>
    <r>
      <rPr>
        <sz val="11"/>
        <color indexed="52"/>
        <rFont val="Calibri"/>
        <family val="2"/>
        <scheme val="minor"/>
      </rPr>
      <t>LI</t>
    </r>
    <r>
      <rPr>
        <sz val="11"/>
        <color indexed="11"/>
        <rFont val="Calibri"/>
        <family val="2"/>
        <scheme val="minor"/>
      </rPr>
      <t>C</t>
    </r>
    <r>
      <rPr>
        <sz val="11"/>
        <color indexed="52"/>
        <rFont val="Calibri"/>
        <family val="2"/>
        <scheme val="minor"/>
      </rPr>
      <t>A</t>
    </r>
    <r>
      <rPr>
        <sz val="11"/>
        <color indexed="11"/>
        <rFont val="Calibri"/>
        <family val="2"/>
        <scheme val="minor"/>
      </rPr>
      <t>Q</t>
    </r>
    <r>
      <rPr>
        <sz val="11"/>
        <color indexed="39"/>
        <rFont val="Calibri"/>
        <family val="2"/>
        <scheme val="minor"/>
      </rPr>
      <t>K</t>
    </r>
    <r>
      <rPr>
        <sz val="11"/>
        <color indexed="52"/>
        <rFont val="Calibri"/>
        <family val="2"/>
        <scheme val="minor"/>
      </rPr>
      <t>F</t>
    </r>
    <r>
      <rPr>
        <sz val="11"/>
        <color indexed="11"/>
        <rFont val="Calibri"/>
        <family val="2"/>
        <scheme val="minor"/>
      </rPr>
      <t>NG</t>
    </r>
    <r>
      <rPr>
        <sz val="11"/>
        <color indexed="52"/>
        <rFont val="Calibri"/>
        <family val="2"/>
        <scheme val="minor"/>
      </rPr>
      <t>L</t>
    </r>
  </si>
  <si>
    <r>
      <t>A</t>
    </r>
    <r>
      <rPr>
        <sz val="11"/>
        <color indexed="14"/>
        <rFont val="Calibri"/>
        <family val="2"/>
        <scheme val="minor"/>
      </rPr>
      <t>D</t>
    </r>
    <r>
      <rPr>
        <sz val="11"/>
        <color indexed="11"/>
        <rFont val="Calibri"/>
        <family val="2"/>
        <scheme val="minor"/>
      </rPr>
      <t>S</t>
    </r>
    <r>
      <rPr>
        <sz val="11"/>
        <color indexed="52"/>
        <rFont val="Calibri"/>
        <family val="2"/>
        <scheme val="minor"/>
      </rPr>
      <t>FVI</t>
    </r>
    <r>
      <rPr>
        <sz val="11"/>
        <color indexed="39"/>
        <rFont val="Calibri"/>
        <family val="2"/>
        <scheme val="minor"/>
      </rPr>
      <t>R</t>
    </r>
    <r>
      <rPr>
        <sz val="11"/>
        <color indexed="11"/>
        <rFont val="Calibri"/>
        <family val="2"/>
        <scheme val="minor"/>
      </rPr>
      <t>G</t>
    </r>
    <r>
      <rPr>
        <sz val="11"/>
        <color indexed="14"/>
        <rFont val="Calibri"/>
        <family val="2"/>
        <scheme val="minor"/>
      </rPr>
      <t>DE</t>
    </r>
    <r>
      <rPr>
        <sz val="11"/>
        <color indexed="52"/>
        <rFont val="Calibri"/>
        <family val="2"/>
        <scheme val="minor"/>
      </rPr>
      <t>V</t>
    </r>
    <r>
      <rPr>
        <sz val="11"/>
        <color indexed="39"/>
        <rFont val="Calibri"/>
        <family val="2"/>
        <scheme val="minor"/>
      </rPr>
      <t>R</t>
    </r>
    <r>
      <rPr>
        <sz val="11"/>
        <color indexed="11"/>
        <rFont val="Calibri"/>
        <family val="2"/>
        <scheme val="minor"/>
      </rPr>
      <t>Q</t>
    </r>
    <r>
      <rPr>
        <sz val="11"/>
        <color indexed="52"/>
        <rFont val="Calibri"/>
        <family val="2"/>
        <scheme val="minor"/>
      </rPr>
      <t>IA</t>
    </r>
  </si>
  <si>
    <r>
      <t>LFLPFF</t>
    </r>
    <r>
      <rPr>
        <sz val="11"/>
        <color indexed="11"/>
        <rFont val="Calibri"/>
        <family val="2"/>
        <scheme val="minor"/>
      </rPr>
      <t>SN</t>
    </r>
    <r>
      <rPr>
        <sz val="11"/>
        <color indexed="52"/>
        <rFont val="Calibri"/>
        <family val="2"/>
        <scheme val="minor"/>
      </rPr>
      <t>V</t>
    </r>
    <r>
      <rPr>
        <sz val="11"/>
        <color indexed="11"/>
        <rFont val="Calibri"/>
        <family val="2"/>
        <scheme val="minor"/>
      </rPr>
      <t>T</t>
    </r>
    <r>
      <rPr>
        <sz val="11"/>
        <color indexed="52"/>
        <rFont val="Calibri"/>
        <family val="2"/>
        <scheme val="minor"/>
      </rPr>
      <t>WF</t>
    </r>
    <r>
      <rPr>
        <sz val="11"/>
        <color indexed="39"/>
        <rFont val="Calibri"/>
        <family val="2"/>
        <scheme val="minor"/>
      </rPr>
      <t>H</t>
    </r>
    <r>
      <rPr>
        <sz val="11"/>
        <color indexed="52"/>
        <rFont val="Calibri"/>
        <family val="2"/>
        <scheme val="minor"/>
      </rPr>
      <t>AI</t>
    </r>
  </si>
  <si>
    <r>
      <t>R</t>
    </r>
    <r>
      <rPr>
        <sz val="11"/>
        <color indexed="14"/>
        <rFont val="Calibri"/>
        <family val="2"/>
        <scheme val="minor"/>
      </rPr>
      <t>D</t>
    </r>
    <r>
      <rPr>
        <sz val="11"/>
        <color indexed="52"/>
        <rFont val="Calibri"/>
        <family val="2"/>
        <scheme val="minor"/>
      </rPr>
      <t>P</t>
    </r>
    <r>
      <rPr>
        <sz val="11"/>
        <color indexed="11"/>
        <rFont val="Calibri"/>
        <family val="2"/>
        <scheme val="minor"/>
      </rPr>
      <t>QT</t>
    </r>
    <r>
      <rPr>
        <sz val="11"/>
        <color indexed="52"/>
        <rFont val="Calibri"/>
        <family val="2"/>
        <scheme val="minor"/>
      </rPr>
      <t>L</t>
    </r>
    <r>
      <rPr>
        <sz val="11"/>
        <color indexed="14"/>
        <rFont val="Calibri"/>
        <family val="2"/>
        <scheme val="minor"/>
      </rPr>
      <t>E</t>
    </r>
    <r>
      <rPr>
        <sz val="11"/>
        <color indexed="52"/>
        <rFont val="Calibri"/>
        <family val="2"/>
        <scheme val="minor"/>
      </rPr>
      <t>IL</t>
    </r>
    <r>
      <rPr>
        <sz val="11"/>
        <color indexed="14"/>
        <rFont val="Calibri"/>
        <family val="2"/>
        <scheme val="minor"/>
      </rPr>
      <t>D</t>
    </r>
    <r>
      <rPr>
        <sz val="11"/>
        <color indexed="52"/>
        <rFont val="Calibri"/>
        <family val="2"/>
        <scheme val="minor"/>
      </rPr>
      <t>I</t>
    </r>
    <r>
      <rPr>
        <sz val="11"/>
        <color indexed="11"/>
        <rFont val="Calibri"/>
        <family val="2"/>
        <scheme val="minor"/>
      </rPr>
      <t>T</t>
    </r>
    <r>
      <rPr>
        <sz val="11"/>
        <color indexed="52"/>
        <rFont val="Calibri"/>
        <family val="2"/>
        <scheme val="minor"/>
      </rPr>
      <t>P</t>
    </r>
    <r>
      <rPr>
        <sz val="11"/>
        <color indexed="11"/>
        <rFont val="Calibri"/>
        <family val="2"/>
        <scheme val="minor"/>
      </rPr>
      <t>CS</t>
    </r>
  </si>
  <si>
    <r>
      <t>K</t>
    </r>
    <r>
      <rPr>
        <sz val="11"/>
        <color indexed="52"/>
        <rFont val="Calibri"/>
        <family val="2"/>
        <scheme val="minor"/>
      </rPr>
      <t>P</t>
    </r>
    <r>
      <rPr>
        <sz val="11"/>
        <color indexed="11"/>
        <rFont val="Calibri"/>
        <family val="2"/>
        <scheme val="minor"/>
      </rPr>
      <t>S</t>
    </r>
    <r>
      <rPr>
        <sz val="11"/>
        <color indexed="39"/>
        <rFont val="Calibri"/>
        <family val="2"/>
        <scheme val="minor"/>
      </rPr>
      <t>KR</t>
    </r>
    <r>
      <rPr>
        <sz val="11"/>
        <color indexed="11"/>
        <rFont val="Calibri"/>
        <family val="2"/>
        <scheme val="minor"/>
      </rPr>
      <t>S</t>
    </r>
    <r>
      <rPr>
        <sz val="11"/>
        <color indexed="52"/>
        <rFont val="Calibri"/>
        <family val="2"/>
        <scheme val="minor"/>
      </rPr>
      <t>FI</t>
    </r>
    <r>
      <rPr>
        <sz val="11"/>
        <color indexed="14"/>
        <rFont val="Calibri"/>
        <family val="2"/>
        <scheme val="minor"/>
      </rPr>
      <t>ED</t>
    </r>
    <r>
      <rPr>
        <sz val="11"/>
        <color indexed="52"/>
        <rFont val="Calibri"/>
        <family val="2"/>
        <scheme val="minor"/>
      </rPr>
      <t>LLF</t>
    </r>
    <r>
      <rPr>
        <sz val="11"/>
        <color indexed="11"/>
        <rFont val="Calibri"/>
        <family val="2"/>
        <scheme val="minor"/>
      </rPr>
      <t>N</t>
    </r>
    <r>
      <rPr>
        <sz val="11"/>
        <color indexed="39"/>
        <rFont val="Calibri"/>
        <family val="2"/>
        <scheme val="minor"/>
      </rPr>
      <t>K</t>
    </r>
  </si>
  <si>
    <t>DLD</t>
  </si>
  <si>
    <t>ILN</t>
  </si>
  <si>
    <t>S</t>
  </si>
  <si>
    <t>K</t>
  </si>
  <si>
    <t>E</t>
  </si>
  <si>
    <t>L</t>
  </si>
  <si>
    <t>EILIILN</t>
  </si>
  <si>
    <t>YTLMLML</t>
  </si>
  <si>
    <t>EVLTLHS</t>
  </si>
  <si>
    <t>QILWLAN</t>
  </si>
  <si>
    <t>VVA</t>
  </si>
  <si>
    <t>NLSAHD</t>
  </si>
  <si>
    <t>VLEAAF</t>
  </si>
  <si>
    <t>I</t>
  </si>
  <si>
    <t>F</t>
  </si>
  <si>
    <t>Q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</si>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</sst>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45"/>
      <name val="Calibri"/>
      <family val="2"/>
      <scheme val="minor"/>
    </font>
    <font>
      <sz val="11"/>
      <color indexed="48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theme="1"/>
      <name val="Calibri Light"/>
      <family val="2"/>
    </font>
    <font>
      <sz val="10"/>
      <color theme="1"/>
      <name val="Courier New"/>
      <family val="3"/>
    </font>
    <font>
      <b/>
      <sz val="10"/>
      <color theme="1"/>
      <name val="Courier New"/>
      <family val="3"/>
    </font>
    <font>
      <sz val="10"/>
      <color rgb="FF000000"/>
      <name val="Arial Unicode MS"/>
      <family val="2"/>
    </font>
    <font>
      <sz val="10"/>
      <name val="Courier New"/>
      <family val="3"/>
    </font>
    <font>
      <sz val="11"/>
      <color rgb="FF000000"/>
      <name val="Calibri"/>
      <family val="2"/>
    </font>
    <font>
      <sz val="10"/>
      <color rgb="FF000000"/>
      <name val="Arial Unicode MS"/>
    </font>
    <font>
      <sz val="10"/>
      <color indexed="52"/>
      <name val="Courier New"/>
      <family val="3"/>
    </font>
    <font>
      <sz val="11"/>
      <color indexed="14"/>
      <name val="Calibri"/>
      <family val="2"/>
      <scheme val="minor"/>
    </font>
    <font>
      <sz val="11"/>
      <color indexed="11"/>
      <name val="Calibri"/>
      <family val="2"/>
      <scheme val="minor"/>
    </font>
    <font>
      <sz val="11"/>
      <color indexed="3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99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CC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0" fillId="0" borderId="0" xfId="0" applyFont="1"/>
    <xf numFmtId="0" fontId="0" fillId="2" borderId="0" xfId="0" applyFont="1" applyFill="1"/>
    <xf numFmtId="0" fontId="0" fillId="3" borderId="0" xfId="0" applyFont="1" applyFill="1"/>
    <xf numFmtId="0" fontId="0" fillId="4" borderId="0" xfId="0" applyFont="1" applyFill="1"/>
    <xf numFmtId="0" fontId="0" fillId="5" borderId="0" xfId="0" applyFont="1" applyFill="1"/>
    <xf numFmtId="0" fontId="3" fillId="0" borderId="0" xfId="0" applyFont="1"/>
    <xf numFmtId="0" fontId="4" fillId="0" borderId="0" xfId="0" applyFont="1" applyAlignment="1">
      <alignment vertical="center"/>
    </xf>
    <xf numFmtId="164" fontId="0" fillId="0" borderId="0" xfId="0" applyNumberFormat="1" applyFont="1"/>
    <xf numFmtId="0" fontId="5" fillId="0" borderId="0" xfId="0" applyFont="1"/>
    <xf numFmtId="0" fontId="4" fillId="0" borderId="0" xfId="0" applyFo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9" fillId="0" borderId="0" xfId="0" applyFont="1" applyAlignment="1">
      <alignment horizontal="left" vertical="center" indent="5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0" fillId="0" borderId="0" xfId="0" applyAlignment="1">
      <alignment vertical="center"/>
    </xf>
    <xf numFmtId="0" fontId="15" fillId="0" borderId="0" xfId="0" applyFont="1" applyAlignment="1">
      <alignment vertical="center"/>
    </xf>
    <xf numFmtId="0" fontId="13" fillId="0" borderId="0" xfId="0" applyFont="1"/>
    <xf numFmtId="0" fontId="10" fillId="0" borderId="0" xfId="0" applyFont="1"/>
    <xf numFmtId="0" fontId="13" fillId="0" borderId="0" xfId="0" applyFont="1" applyAlignment="1">
      <alignment horizontal="right" vertical="center"/>
    </xf>
    <xf numFmtId="0" fontId="16" fillId="0" borderId="0" xfId="0" applyFont="1" applyAlignment="1">
      <alignment vertical="center"/>
    </xf>
    <xf numFmtId="0" fontId="8" fillId="0" borderId="0" xfId="0" applyFont="1"/>
    <xf numFmtId="0" fontId="19" fillId="0" borderId="0" xfId="0" applyFont="1"/>
  </cellXfs>
  <cellStyles count="1">
    <cellStyle name="Standard" xfId="0" builtinId="0"/>
  </cellStyles>
  <dxfs count="1">
    <dxf>
      <font>
        <strike val="0"/>
        <color theme="9" tint="-0.24994659260841701"/>
      </font>
    </dxf>
  </dxfs>
  <tableStyles count="0" defaultTableStyle="TableStyleMedium2" defaultPivotStyle="PivotStyleLight16"/>
  <colors>
    <mruColors>
      <color rgb="FF00CCFF"/>
      <color rgb="FFFF66FF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556260</xdr:colOff>
          <xdr:row>1</xdr:row>
          <xdr:rowOff>137160</xdr:rowOff>
        </xdr:from>
        <xdr:to>
          <xdr:col>6</xdr:col>
          <xdr:colOff>388620</xdr:colOff>
          <xdr:row>3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Coloraa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99060</xdr:rowOff>
        </xdr:from>
        <xdr:to>
          <xdr:col>3</xdr:col>
          <xdr:colOff>762000</xdr:colOff>
          <xdr:row>5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Mutation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orlage_Mutations_Tab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elle1"/>
      <sheetName val="Tabelle2"/>
    </sheetNames>
    <sheetDataSet>
      <sheetData sheetId="0">
        <row r="1">
          <cell r="H1" t="str">
            <v>Number</v>
          </cell>
          <cell r="I1" t="str">
            <v>From</v>
          </cell>
          <cell r="J1" t="str">
            <v>To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Q16"/>
  <sheetViews>
    <sheetView zoomScale="85" zoomScaleNormal="85" workbookViewId="0">
      <selection activeCell="B17" sqref="B17"/>
    </sheetView>
  </sheetViews>
  <sheetFormatPr baseColWidth="10" defaultRowHeight="14.4"/>
  <cols>
    <col min="2" max="2" width="33.109375" bestFit="1" customWidth="1"/>
    <col min="3" max="3" width="9.5546875" style="7" bestFit="1" customWidth="1"/>
    <col min="4" max="4" width="9.109375" bestFit="1" customWidth="1"/>
    <col min="5" max="5" width="15" bestFit="1" customWidth="1"/>
    <col min="6" max="6" width="9.6640625" bestFit="1" customWidth="1"/>
    <col min="7" max="7" width="9.88671875" bestFit="1" customWidth="1"/>
    <col min="8" max="8" width="14.6640625" bestFit="1" customWidth="1"/>
    <col min="9" max="9" width="13.5546875" bestFit="1" customWidth="1"/>
    <col min="10" max="10" width="11.109375" bestFit="1" customWidth="1"/>
    <col min="11" max="11" width="23.88671875" bestFit="1" customWidth="1"/>
    <col min="12" max="12" width="26.109375" bestFit="1" customWidth="1"/>
    <col min="13" max="13" width="23" bestFit="1" customWidth="1"/>
    <col min="14" max="14" width="67.6640625" style="11" customWidth="1"/>
    <col min="15" max="15" width="60.6640625" style="11" bestFit="1" customWidth="1"/>
    <col min="17" max="17" width="188" bestFit="1" customWidth="1"/>
  </cols>
  <sheetData>
    <row r="1" spans="1:17" s="1" customFormat="1">
      <c r="A1" s="10" t="s">
        <v>23</v>
      </c>
      <c r="B1" s="10" t="s">
        <v>24</v>
      </c>
    </row>
    <row r="2" spans="1:17" s="2" customFormat="1">
      <c r="A2" s="24"/>
      <c r="B2" s="25" t="s">
        <v>41</v>
      </c>
      <c r="C2" s="4" t="s">
        <v>10</v>
      </c>
      <c r="M2" s="9"/>
      <c r="Q2"/>
    </row>
    <row r="3" spans="1:17" s="2" customFormat="1">
      <c r="A3" s="24"/>
      <c r="B3" s="25" t="s">
        <v>42</v>
      </c>
      <c r="C3" s="3" t="s">
        <v>11</v>
      </c>
      <c r="M3" s="9"/>
    </row>
    <row r="4" spans="1:17" s="2" customFormat="1">
      <c r="A4" s="12"/>
      <c r="B4" s="25" t="s">
        <v>43</v>
      </c>
      <c r="C4" s="5" t="s">
        <v>0</v>
      </c>
      <c r="M4" s="9"/>
    </row>
    <row r="5" spans="1:17" s="2" customFormat="1">
      <c r="A5" s="12"/>
      <c r="B5" s="26" t="s">
        <v>44</v>
      </c>
      <c r="C5" s="6" t="s">
        <v>12</v>
      </c>
      <c r="M5" s="9"/>
    </row>
    <row r="6" spans="1:17" s="2" customFormat="1">
      <c r="A6" s="12"/>
      <c r="B6" s="26" t="s">
        <v>45</v>
      </c>
      <c r="M6" s="9"/>
    </row>
    <row r="7" spans="1:17">
      <c r="A7" s="12"/>
      <c r="B7" s="13"/>
      <c r="C7"/>
      <c r="D7" s="2"/>
      <c r="E7" s="2"/>
      <c r="F7" s="2"/>
      <c r="G7" s="2"/>
      <c r="H7" s="2"/>
      <c r="I7" s="2"/>
      <c r="J7" s="2"/>
      <c r="K7" s="2"/>
      <c r="L7" s="2"/>
      <c r="M7" s="9"/>
    </row>
    <row r="8" spans="1:17" s="1" customFormat="1">
      <c r="A8" s="10"/>
      <c r="B8" s="10"/>
      <c r="D8" s="2"/>
      <c r="E8" s="2"/>
    </row>
    <row r="9" spans="1:17">
      <c r="A9" s="11"/>
      <c r="B9" s="11"/>
      <c r="C9"/>
      <c r="D9" s="2"/>
      <c r="E9" s="2"/>
    </row>
    <row r="10" spans="1:17">
      <c r="A10" s="10"/>
      <c r="B10" s="11"/>
      <c r="C10"/>
      <c r="G10" s="1"/>
      <c r="H10" s="1"/>
      <c r="I10" s="1"/>
      <c r="J10" s="1"/>
      <c r="K10" s="1"/>
      <c r="M10" s="1"/>
    </row>
    <row r="11" spans="1:17">
      <c r="A11" s="11"/>
      <c r="B11" s="11"/>
      <c r="C11"/>
      <c r="G11" s="1"/>
      <c r="J11" s="1"/>
      <c r="K11" s="1"/>
    </row>
    <row r="12" spans="1:17">
      <c r="A12" s="11"/>
      <c r="B12" s="11"/>
      <c r="C12"/>
    </row>
    <row r="16" spans="1:17">
      <c r="N16" s="8"/>
    </row>
  </sheetData>
  <phoneticPr fontId="2" type="noConversion"/>
  <conditionalFormatting sqref="N16">
    <cfRule type="expression" dxfId="0" priority="1">
      <formula>"Q"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loraa">
                <anchor moveWithCells="1" sizeWithCells="1">
                  <from>
                    <xdr:col>4</xdr:col>
                    <xdr:colOff>556260</xdr:colOff>
                    <xdr:row>1</xdr:row>
                    <xdr:rowOff>137160</xdr:rowOff>
                  </from>
                  <to>
                    <xdr:col>6</xdr:col>
                    <xdr:colOff>388620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DF94C-46CD-40BB-AE25-4C8A6A05325D}">
  <sheetPr codeName="Tabelle1"/>
  <dimension ref="A1:AP173"/>
  <sheetViews>
    <sheetView topLeftCell="V1" workbookViewId="0">
      <selection activeCell="AB18" sqref="AB18"/>
    </sheetView>
  </sheetViews>
  <sheetFormatPr baseColWidth="10" defaultRowHeight="14.4"/>
  <sheetData>
    <row r="1" spans="1:42">
      <c r="A1" t="s">
        <v>30</v>
      </c>
      <c r="B1" t="s">
        <v>31</v>
      </c>
      <c r="D1" t="s">
        <v>32</v>
      </c>
      <c r="F1" t="s">
        <v>6</v>
      </c>
      <c r="H1" t="s">
        <v>26</v>
      </c>
      <c r="I1" t="s">
        <v>28</v>
      </c>
      <c r="J1" t="s">
        <v>29</v>
      </c>
      <c r="L1" t="s">
        <v>4</v>
      </c>
      <c r="U1" t="s">
        <v>3</v>
      </c>
      <c r="AE1" t="s">
        <v>33</v>
      </c>
      <c r="AG1">
        <f t="shared" ref="AG1:AG24" si="0">IF($A2+1=$A2,$B2,$A2)</f>
        <v>173</v>
      </c>
      <c r="AH1" t="str">
        <f t="shared" ref="AH1:AH24" si="1">IF($AG1+$AE$2&lt;$B2+1,$AG1+$AE$2,"")</f>
        <v/>
      </c>
      <c r="AI1" t="str">
        <f t="shared" ref="AI1:AI24" si="2">IF($AG1+$AE$3&lt;$B2+1,$AG1+$AE$3,"")</f>
        <v/>
      </c>
      <c r="AJ1" t="str">
        <f t="shared" ref="AJ1:AJ24" si="3">IF($AG1+$AE$4&lt;$B2+1,$AG1+$AE$4,"")</f>
        <v/>
      </c>
      <c r="AK1" t="str">
        <f t="shared" ref="AK1:AK24" si="4">IF($AG1+$AE$5&lt;$B2+1,$AG1+$AE$5,"")</f>
        <v/>
      </c>
      <c r="AL1" t="str">
        <f t="shared" ref="AL1:AL24" si="5">IF($AG1+$AE$6&lt;$B2+1,$AG1+$AE$6,"")</f>
        <v/>
      </c>
      <c r="AM1" t="str">
        <f t="shared" ref="AM1:AM24" si="6">IF($AG1+$AE$7&lt;$B2+1,$AG1+$AE$7,"")</f>
        <v/>
      </c>
      <c r="AN1" t="str">
        <f t="shared" ref="AN1:AN13" si="7">IF($AG1+$AE$8&lt;$B2+1,$AG1+$AE$8,"")</f>
        <v/>
      </c>
      <c r="AO1" t="str">
        <f t="shared" ref="AO1:AO13" si="8">IF($AG1+$AE$9&lt;$B2+1,$AG1+$AE$9,"")</f>
        <v/>
      </c>
      <c r="AP1" t="str">
        <f t="shared" ref="AP1:AP13" si="9">IF($AG1+$AE$10&lt;$B2+1,$AG1+$AE$10,"")</f>
        <v/>
      </c>
    </row>
    <row r="2" spans="1:42">
      <c r="A2">
        <v>173</v>
      </c>
      <c r="B2">
        <v>173</v>
      </c>
      <c r="D2" t="s">
        <v>35</v>
      </c>
      <c r="E2" t="s">
        <v>34</v>
      </c>
      <c r="F2" t="s">
        <v>36</v>
      </c>
      <c r="H2">
        <f>IF($A2+1=$A2,$B2,$A2)</f>
        <v>173</v>
      </c>
      <c r="I2" t="str">
        <f>MID($D2,1,1)</f>
        <v>V</v>
      </c>
      <c r="J2" t="str">
        <f>MID($F2,1,1)</f>
        <v>T</v>
      </c>
      <c r="M2" t="str">
        <f t="shared" ref="M2:M25" si="10">MID($D2,1,1)</f>
        <v>V</v>
      </c>
      <c r="N2" t="str">
        <f t="shared" ref="N2:N23" si="11">MID($D2,2,1)</f>
        <v/>
      </c>
      <c r="O2" t="str">
        <f t="shared" ref="O2:O25" si="12">MID($D2,3,1)</f>
        <v/>
      </c>
      <c r="P2" t="str">
        <f t="shared" ref="P2:P32" si="13">MID($D2,4,1)</f>
        <v/>
      </c>
      <c r="Q2" t="str">
        <f t="shared" ref="Q2:Q26" si="14">MID($D2,5,1)</f>
        <v/>
      </c>
      <c r="R2" t="str">
        <f t="shared" ref="R2:R31" si="15">MID($D2,6,1)</f>
        <v/>
      </c>
      <c r="S2" t="str">
        <f t="shared" ref="S2:S23" si="16">MID($D2,7,1)</f>
        <v/>
      </c>
      <c r="U2" t="str">
        <f t="shared" ref="U2:U14" si="17">MID($D2,8,1)</f>
        <v/>
      </c>
      <c r="V2" t="str">
        <f t="shared" ref="V2:V23" si="18">MID($F2,1,1)</f>
        <v>T</v>
      </c>
      <c r="W2" t="str">
        <f t="shared" ref="W2:W24" si="19">MID($F2,2,1)</f>
        <v/>
      </c>
      <c r="X2" t="str">
        <f t="shared" ref="X2:X24" si="20">MID($F2,3,1)</f>
        <v/>
      </c>
      <c r="Y2" t="str">
        <f t="shared" ref="Y2:Y26" si="21">MID($F2,4,1)</f>
        <v/>
      </c>
      <c r="Z2" t="str">
        <f t="shared" ref="Z2:Z24" si="22">MID($F2,5,1)</f>
        <v/>
      </c>
      <c r="AA2" t="str">
        <f>MID($F2,6,1)</f>
        <v/>
      </c>
      <c r="AB2" t="str">
        <f t="shared" ref="AB2:AB17" si="23">MID($F2,7,1)</f>
        <v/>
      </c>
      <c r="AC2" t="str">
        <f t="shared" ref="AC2:AC14" si="24">MID($D2,8,1)</f>
        <v/>
      </c>
      <c r="AE2">
        <v>1</v>
      </c>
      <c r="AG2">
        <f t="shared" si="0"/>
        <v>195</v>
      </c>
      <c r="AH2">
        <f t="shared" si="1"/>
        <v>196</v>
      </c>
      <c r="AI2">
        <f t="shared" si="2"/>
        <v>197</v>
      </c>
      <c r="AJ2" t="str">
        <f t="shared" si="3"/>
        <v/>
      </c>
      <c r="AK2" t="str">
        <f t="shared" si="4"/>
        <v/>
      </c>
      <c r="AL2" t="str">
        <f t="shared" si="5"/>
        <v/>
      </c>
      <c r="AM2" t="str">
        <f t="shared" si="6"/>
        <v/>
      </c>
      <c r="AN2" t="str">
        <f t="shared" si="7"/>
        <v/>
      </c>
      <c r="AO2" t="str">
        <f t="shared" si="8"/>
        <v/>
      </c>
      <c r="AP2" t="str">
        <f t="shared" si="9"/>
        <v/>
      </c>
    </row>
    <row r="3" spans="1:42">
      <c r="A3">
        <v>195</v>
      </c>
      <c r="B3">
        <v>197</v>
      </c>
      <c r="D3" t="s">
        <v>46</v>
      </c>
      <c r="E3" t="s">
        <v>34</v>
      </c>
      <c r="F3" t="s">
        <v>47</v>
      </c>
      <c r="H3" t="str">
        <f>IF(H$2+$AE$2&lt;$B2+1,H$2+$AE$2,"")</f>
        <v/>
      </c>
      <c r="I3" t="str">
        <f>MID($D2,2,1)</f>
        <v/>
      </c>
      <c r="J3" t="str">
        <f>MID($F2,2,1)</f>
        <v/>
      </c>
      <c r="M3" t="str">
        <f t="shared" si="10"/>
        <v>D</v>
      </c>
      <c r="N3" t="str">
        <f t="shared" si="11"/>
        <v>L</v>
      </c>
      <c r="O3" t="str">
        <f t="shared" si="12"/>
        <v>D</v>
      </c>
      <c r="P3" t="str">
        <f t="shared" si="13"/>
        <v/>
      </c>
      <c r="Q3" t="str">
        <f t="shared" si="14"/>
        <v/>
      </c>
      <c r="R3" t="str">
        <f t="shared" si="15"/>
        <v/>
      </c>
      <c r="S3" t="str">
        <f t="shared" si="16"/>
        <v/>
      </c>
      <c r="U3" t="str">
        <f t="shared" si="17"/>
        <v/>
      </c>
      <c r="V3" t="str">
        <f t="shared" si="18"/>
        <v>I</v>
      </c>
      <c r="W3" t="str">
        <f t="shared" si="19"/>
        <v>L</v>
      </c>
      <c r="X3" t="str">
        <f t="shared" si="20"/>
        <v>N</v>
      </c>
      <c r="Y3" t="str">
        <f t="shared" si="21"/>
        <v/>
      </c>
      <c r="Z3" t="str">
        <f t="shared" si="22"/>
        <v/>
      </c>
      <c r="AA3" t="str">
        <f t="shared" ref="AA3:AB25" si="25">MID($F3,6,1)</f>
        <v/>
      </c>
      <c r="AB3" t="str">
        <f t="shared" si="23"/>
        <v/>
      </c>
      <c r="AC3" t="str">
        <f t="shared" si="24"/>
        <v/>
      </c>
      <c r="AE3">
        <v>2</v>
      </c>
      <c r="AG3">
        <f t="shared" si="0"/>
        <v>219</v>
      </c>
      <c r="AH3" t="str">
        <f t="shared" si="1"/>
        <v/>
      </c>
      <c r="AI3" t="str">
        <f t="shared" si="2"/>
        <v/>
      </c>
      <c r="AJ3" t="str">
        <f t="shared" si="3"/>
        <v/>
      </c>
      <c r="AK3" t="str">
        <f t="shared" si="4"/>
        <v/>
      </c>
      <c r="AL3" t="str">
        <f t="shared" si="5"/>
        <v/>
      </c>
      <c r="AM3" t="str">
        <f t="shared" si="6"/>
        <v/>
      </c>
      <c r="AN3" t="str">
        <f t="shared" si="7"/>
        <v/>
      </c>
      <c r="AO3" t="str">
        <f t="shared" si="8"/>
        <v/>
      </c>
      <c r="AP3" t="str">
        <f t="shared" si="9"/>
        <v/>
      </c>
    </row>
    <row r="4" spans="1:42">
      <c r="A4">
        <v>219</v>
      </c>
      <c r="B4">
        <v>219</v>
      </c>
      <c r="D4" t="s">
        <v>48</v>
      </c>
      <c r="E4" t="s">
        <v>34</v>
      </c>
      <c r="F4" t="s">
        <v>49</v>
      </c>
      <c r="H4" t="str">
        <f>IF(H$2+$AE$3&lt;$B2+1,H$2+$AE$3,"")</f>
        <v/>
      </c>
      <c r="I4" t="str">
        <f>MID($D2,3,1)</f>
        <v/>
      </c>
      <c r="J4" t="str">
        <f>MID($F2,3,1)</f>
        <v/>
      </c>
      <c r="M4" t="str">
        <f t="shared" si="10"/>
        <v>S</v>
      </c>
      <c r="N4" t="str">
        <f t="shared" si="11"/>
        <v/>
      </c>
      <c r="O4" t="str">
        <f t="shared" si="12"/>
        <v/>
      </c>
      <c r="P4" t="str">
        <f t="shared" si="13"/>
        <v/>
      </c>
      <c r="Q4" t="str">
        <f t="shared" si="14"/>
        <v/>
      </c>
      <c r="R4" t="str">
        <f t="shared" si="15"/>
        <v/>
      </c>
      <c r="S4" t="str">
        <f t="shared" si="16"/>
        <v/>
      </c>
      <c r="U4" t="str">
        <f t="shared" si="17"/>
        <v/>
      </c>
      <c r="V4" t="str">
        <f t="shared" si="18"/>
        <v>K</v>
      </c>
      <c r="W4" t="str">
        <f t="shared" si="19"/>
        <v/>
      </c>
      <c r="X4" t="str">
        <f t="shared" si="20"/>
        <v/>
      </c>
      <c r="Y4" t="str">
        <f t="shared" si="21"/>
        <v/>
      </c>
      <c r="Z4" t="str">
        <f t="shared" si="22"/>
        <v/>
      </c>
      <c r="AA4" t="str">
        <f t="shared" si="25"/>
        <v/>
      </c>
      <c r="AB4" t="str">
        <f t="shared" si="23"/>
        <v/>
      </c>
      <c r="AC4" t="str">
        <f t="shared" si="24"/>
        <v/>
      </c>
      <c r="AE4">
        <v>3</v>
      </c>
      <c r="AG4">
        <f t="shared" si="0"/>
        <v>242</v>
      </c>
      <c r="AH4" t="str">
        <f t="shared" si="1"/>
        <v/>
      </c>
      <c r="AI4" t="str">
        <f t="shared" si="2"/>
        <v/>
      </c>
      <c r="AJ4" t="str">
        <f t="shared" si="3"/>
        <v/>
      </c>
      <c r="AK4" t="str">
        <f t="shared" si="4"/>
        <v/>
      </c>
      <c r="AL4" t="str">
        <f t="shared" si="5"/>
        <v/>
      </c>
      <c r="AM4" t="str">
        <f t="shared" si="6"/>
        <v/>
      </c>
      <c r="AN4" t="str">
        <f t="shared" si="7"/>
        <v/>
      </c>
      <c r="AO4" t="str">
        <f t="shared" si="8"/>
        <v/>
      </c>
      <c r="AP4" t="str">
        <f t="shared" si="9"/>
        <v/>
      </c>
    </row>
    <row r="5" spans="1:42">
      <c r="A5">
        <v>242</v>
      </c>
      <c r="B5">
        <v>242</v>
      </c>
      <c r="D5" t="s">
        <v>35</v>
      </c>
      <c r="E5" t="s">
        <v>34</v>
      </c>
      <c r="F5" t="s">
        <v>49</v>
      </c>
      <c r="H5" t="str">
        <f>IF(H$2+$AE$4&lt;$B2+1,H$2+$AE$4,"")</f>
        <v/>
      </c>
      <c r="I5" t="str">
        <f>MID($D2,4,1)</f>
        <v/>
      </c>
      <c r="J5" t="str">
        <f>MID($F2,4,1)</f>
        <v/>
      </c>
      <c r="M5" t="str">
        <f t="shared" si="10"/>
        <v>V</v>
      </c>
      <c r="N5" t="str">
        <f t="shared" si="11"/>
        <v/>
      </c>
      <c r="O5" t="str">
        <f t="shared" si="12"/>
        <v/>
      </c>
      <c r="P5" t="str">
        <f t="shared" si="13"/>
        <v/>
      </c>
      <c r="Q5" t="str">
        <f t="shared" si="14"/>
        <v/>
      </c>
      <c r="R5" t="str">
        <f t="shared" si="15"/>
        <v/>
      </c>
      <c r="S5" t="str">
        <f t="shared" si="16"/>
        <v/>
      </c>
      <c r="U5" t="str">
        <f t="shared" si="17"/>
        <v/>
      </c>
      <c r="V5" t="str">
        <f t="shared" si="18"/>
        <v>K</v>
      </c>
      <c r="W5" t="str">
        <f t="shared" si="19"/>
        <v/>
      </c>
      <c r="X5" t="str">
        <f t="shared" si="20"/>
        <v/>
      </c>
      <c r="Y5" t="str">
        <f t="shared" si="21"/>
        <v/>
      </c>
      <c r="Z5" t="str">
        <f t="shared" si="22"/>
        <v/>
      </c>
      <c r="AA5" t="str">
        <f t="shared" si="25"/>
        <v/>
      </c>
      <c r="AB5" t="str">
        <f t="shared" si="23"/>
        <v/>
      </c>
      <c r="AC5" t="str">
        <f t="shared" si="24"/>
        <v/>
      </c>
      <c r="AE5">
        <v>4</v>
      </c>
      <c r="AG5">
        <f t="shared" si="0"/>
        <v>245</v>
      </c>
      <c r="AH5" t="str">
        <f t="shared" si="1"/>
        <v/>
      </c>
      <c r="AI5" t="str">
        <f t="shared" si="2"/>
        <v/>
      </c>
      <c r="AJ5" t="str">
        <f t="shared" si="3"/>
        <v/>
      </c>
      <c r="AK5" t="str">
        <f t="shared" si="4"/>
        <v/>
      </c>
      <c r="AL5" t="str">
        <f t="shared" si="5"/>
        <v/>
      </c>
      <c r="AM5" t="str">
        <f t="shared" si="6"/>
        <v/>
      </c>
      <c r="AN5" t="str">
        <f t="shared" si="7"/>
        <v/>
      </c>
      <c r="AO5" t="str">
        <f t="shared" si="8"/>
        <v/>
      </c>
      <c r="AP5" t="str">
        <f t="shared" si="9"/>
        <v/>
      </c>
    </row>
    <row r="6" spans="1:42">
      <c r="A6">
        <v>245</v>
      </c>
      <c r="B6">
        <v>245</v>
      </c>
      <c r="D6" t="s">
        <v>50</v>
      </c>
      <c r="E6" t="s">
        <v>34</v>
      </c>
      <c r="F6" t="s">
        <v>51</v>
      </c>
      <c r="H6" t="str">
        <f>IF(H$2+$AE$5&lt;$B2+1,H$2+$AE$5,"")</f>
        <v/>
      </c>
      <c r="I6" t="str">
        <f>MID($D2,5,1)</f>
        <v/>
      </c>
      <c r="J6" t="str">
        <f>MID($F2,5,1)</f>
        <v/>
      </c>
      <c r="M6" t="str">
        <f t="shared" si="10"/>
        <v>E</v>
      </c>
      <c r="N6" t="str">
        <f t="shared" si="11"/>
        <v/>
      </c>
      <c r="O6" t="str">
        <f t="shared" si="12"/>
        <v/>
      </c>
      <c r="P6" t="str">
        <f t="shared" si="13"/>
        <v/>
      </c>
      <c r="Q6" t="str">
        <f t="shared" si="14"/>
        <v/>
      </c>
      <c r="R6" t="str">
        <f t="shared" si="15"/>
        <v/>
      </c>
      <c r="S6" t="str">
        <f t="shared" si="16"/>
        <v/>
      </c>
      <c r="U6" t="str">
        <f t="shared" si="17"/>
        <v/>
      </c>
      <c r="V6" t="str">
        <f t="shared" si="18"/>
        <v>L</v>
      </c>
      <c r="W6" t="str">
        <f t="shared" si="19"/>
        <v/>
      </c>
      <c r="X6" t="str">
        <f t="shared" si="20"/>
        <v/>
      </c>
      <c r="Y6" t="str">
        <f t="shared" si="21"/>
        <v/>
      </c>
      <c r="Z6" t="str">
        <f t="shared" si="22"/>
        <v/>
      </c>
      <c r="AA6" t="str">
        <f t="shared" si="25"/>
        <v/>
      </c>
      <c r="AB6" t="str">
        <f t="shared" si="23"/>
        <v/>
      </c>
      <c r="AC6" t="str">
        <f t="shared" si="24"/>
        <v/>
      </c>
      <c r="AE6">
        <v>5</v>
      </c>
      <c r="AG6">
        <f t="shared" si="0"/>
        <v>266</v>
      </c>
      <c r="AH6">
        <f t="shared" si="1"/>
        <v>267</v>
      </c>
      <c r="AI6">
        <f t="shared" si="2"/>
        <v>268</v>
      </c>
      <c r="AJ6">
        <f t="shared" si="3"/>
        <v>269</v>
      </c>
      <c r="AK6">
        <f t="shared" si="4"/>
        <v>270</v>
      </c>
      <c r="AL6">
        <f t="shared" si="5"/>
        <v>271</v>
      </c>
      <c r="AM6">
        <f t="shared" si="6"/>
        <v>272</v>
      </c>
      <c r="AN6" t="str">
        <f t="shared" si="7"/>
        <v/>
      </c>
      <c r="AO6" t="str">
        <f t="shared" si="8"/>
        <v/>
      </c>
      <c r="AP6" t="str">
        <f t="shared" si="9"/>
        <v/>
      </c>
    </row>
    <row r="7" spans="1:42">
      <c r="A7">
        <v>266</v>
      </c>
      <c r="B7">
        <v>272</v>
      </c>
      <c r="D7" t="s">
        <v>37</v>
      </c>
      <c r="E7" t="s">
        <v>34</v>
      </c>
      <c r="F7" t="s">
        <v>52</v>
      </c>
      <c r="H7" t="str">
        <f>IF(H$2+$AE$6&lt;$B2+1,H$2+$AE$6,"")</f>
        <v/>
      </c>
      <c r="I7" t="str">
        <f>MID($D2,6,1)</f>
        <v/>
      </c>
      <c r="J7" t="str">
        <f>MID($F2,6,1)</f>
        <v/>
      </c>
      <c r="M7" t="str">
        <f t="shared" si="10"/>
        <v>Q</v>
      </c>
      <c r="N7" t="str">
        <f t="shared" si="11"/>
        <v>A</v>
      </c>
      <c r="O7" t="str">
        <f t="shared" si="12"/>
        <v>L</v>
      </c>
      <c r="P7" t="str">
        <f t="shared" si="13"/>
        <v>R</v>
      </c>
      <c r="Q7" t="str">
        <f t="shared" si="14"/>
        <v>I</v>
      </c>
      <c r="R7" t="str">
        <f t="shared" si="15"/>
        <v>Y</v>
      </c>
      <c r="S7" t="str">
        <f t="shared" si="16"/>
        <v>K</v>
      </c>
      <c r="U7" t="str">
        <f t="shared" si="17"/>
        <v/>
      </c>
      <c r="V7" t="str">
        <f t="shared" si="18"/>
        <v>E</v>
      </c>
      <c r="W7" t="str">
        <f t="shared" si="19"/>
        <v>I</v>
      </c>
      <c r="X7" t="str">
        <f t="shared" si="20"/>
        <v>L</v>
      </c>
      <c r="Y7" t="str">
        <f t="shared" si="21"/>
        <v>I</v>
      </c>
      <c r="Z7" t="str">
        <f t="shared" si="22"/>
        <v>I</v>
      </c>
      <c r="AA7" t="str">
        <f t="shared" si="25"/>
        <v>L</v>
      </c>
      <c r="AB7" t="str">
        <f t="shared" si="23"/>
        <v>N</v>
      </c>
      <c r="AC7" t="str">
        <f t="shared" si="24"/>
        <v/>
      </c>
      <c r="AE7">
        <v>6</v>
      </c>
      <c r="AG7">
        <f t="shared" si="0"/>
        <v>290</v>
      </c>
      <c r="AH7">
        <f t="shared" si="1"/>
        <v>291</v>
      </c>
      <c r="AI7">
        <f t="shared" si="2"/>
        <v>292</v>
      </c>
      <c r="AJ7">
        <f t="shared" si="3"/>
        <v>293</v>
      </c>
      <c r="AK7">
        <f t="shared" si="4"/>
        <v>294</v>
      </c>
      <c r="AL7">
        <f t="shared" si="5"/>
        <v>295</v>
      </c>
      <c r="AM7">
        <f t="shared" si="6"/>
        <v>296</v>
      </c>
      <c r="AN7" t="str">
        <f t="shared" si="7"/>
        <v/>
      </c>
      <c r="AO7" t="str">
        <f t="shared" si="8"/>
        <v/>
      </c>
      <c r="AP7" t="str">
        <f t="shared" si="9"/>
        <v/>
      </c>
    </row>
    <row r="8" spans="1:42">
      <c r="A8">
        <v>290</v>
      </c>
      <c r="B8">
        <v>296</v>
      </c>
      <c r="D8" t="s">
        <v>38</v>
      </c>
      <c r="E8" t="s">
        <v>34</v>
      </c>
      <c r="F8" t="s">
        <v>53</v>
      </c>
      <c r="H8" t="str">
        <f>IF(H$2+$AE$7&lt;$B2+1,H$2+$AE$7,"")</f>
        <v/>
      </c>
      <c r="I8" t="str">
        <f>MID($D2,7,1)</f>
        <v/>
      </c>
      <c r="J8" t="str">
        <f>MID($F2,7,1)</f>
        <v/>
      </c>
      <c r="M8" t="str">
        <f t="shared" si="10"/>
        <v>T</v>
      </c>
      <c r="N8" t="str">
        <f t="shared" si="11"/>
        <v>H</v>
      </c>
      <c r="O8" t="str">
        <f t="shared" si="12"/>
        <v>L</v>
      </c>
      <c r="P8" t="str">
        <f t="shared" si="13"/>
        <v>G</v>
      </c>
      <c r="Q8" t="str">
        <f t="shared" si="14"/>
        <v>L</v>
      </c>
      <c r="R8" t="str">
        <f t="shared" si="15"/>
        <v>S</v>
      </c>
      <c r="S8" t="str">
        <f t="shared" si="16"/>
        <v>E</v>
      </c>
      <c r="U8" t="str">
        <f t="shared" si="17"/>
        <v/>
      </c>
      <c r="V8" t="str">
        <f t="shared" si="18"/>
        <v>Y</v>
      </c>
      <c r="W8" t="str">
        <f t="shared" si="19"/>
        <v>T</v>
      </c>
      <c r="X8" t="str">
        <f t="shared" si="20"/>
        <v>L</v>
      </c>
      <c r="Y8" t="str">
        <f t="shared" si="21"/>
        <v>M</v>
      </c>
      <c r="Z8" t="str">
        <f t="shared" si="22"/>
        <v>L</v>
      </c>
      <c r="AA8" t="str">
        <f t="shared" si="25"/>
        <v>M</v>
      </c>
      <c r="AB8" t="str">
        <f t="shared" si="23"/>
        <v>L</v>
      </c>
      <c r="AC8" t="str">
        <f t="shared" si="24"/>
        <v/>
      </c>
      <c r="AE8">
        <v>7</v>
      </c>
      <c r="AG8">
        <f t="shared" si="0"/>
        <v>314</v>
      </c>
      <c r="AH8">
        <f t="shared" si="1"/>
        <v>315</v>
      </c>
      <c r="AI8">
        <f t="shared" si="2"/>
        <v>316</v>
      </c>
      <c r="AJ8">
        <f t="shared" si="3"/>
        <v>317</v>
      </c>
      <c r="AK8">
        <f t="shared" si="4"/>
        <v>318</v>
      </c>
      <c r="AL8">
        <f t="shared" si="5"/>
        <v>319</v>
      </c>
      <c r="AM8">
        <f t="shared" si="6"/>
        <v>320</v>
      </c>
      <c r="AN8" t="str">
        <f t="shared" si="7"/>
        <v/>
      </c>
      <c r="AO8" t="str">
        <f t="shared" si="8"/>
        <v/>
      </c>
      <c r="AP8" t="str">
        <f t="shared" si="9"/>
        <v/>
      </c>
    </row>
    <row r="9" spans="1:42">
      <c r="A9">
        <v>314</v>
      </c>
      <c r="B9">
        <v>320</v>
      </c>
      <c r="D9" t="s">
        <v>54</v>
      </c>
      <c r="E9" t="s">
        <v>34</v>
      </c>
      <c r="F9" t="s">
        <v>55</v>
      </c>
      <c r="H9">
        <f>IF($A3+1=$A3,$B3,$A3)</f>
        <v>195</v>
      </c>
      <c r="I9" t="str">
        <f>MID($D3,1,1)</f>
        <v>D</v>
      </c>
      <c r="J9" t="str">
        <f>MID($F3,1,1)</f>
        <v>I</v>
      </c>
      <c r="M9" t="str">
        <f t="shared" si="10"/>
        <v>E</v>
      </c>
      <c r="N9" t="str">
        <f t="shared" si="11"/>
        <v>V</v>
      </c>
      <c r="O9" t="str">
        <f t="shared" si="12"/>
        <v>L</v>
      </c>
      <c r="P9" t="str">
        <f t="shared" si="13"/>
        <v>T</v>
      </c>
      <c r="Q9" t="str">
        <f t="shared" si="14"/>
        <v>L</v>
      </c>
      <c r="R9" t="str">
        <f t="shared" si="15"/>
        <v>H</v>
      </c>
      <c r="S9" t="str">
        <f t="shared" si="16"/>
        <v>S</v>
      </c>
      <c r="U9" t="str">
        <f t="shared" si="17"/>
        <v/>
      </c>
      <c r="V9" t="str">
        <f t="shared" si="18"/>
        <v>Q</v>
      </c>
      <c r="W9" t="str">
        <f t="shared" si="19"/>
        <v>I</v>
      </c>
      <c r="X9" t="str">
        <f t="shared" si="20"/>
        <v>L</v>
      </c>
      <c r="Y9" t="str">
        <f t="shared" si="21"/>
        <v>W</v>
      </c>
      <c r="Z9" t="str">
        <f t="shared" si="22"/>
        <v>L</v>
      </c>
      <c r="AA9" t="str">
        <f t="shared" si="25"/>
        <v>A</v>
      </c>
      <c r="AB9" t="str">
        <f t="shared" si="23"/>
        <v>N</v>
      </c>
      <c r="AC9" t="str">
        <f t="shared" si="24"/>
        <v/>
      </c>
      <c r="AE9">
        <v>8</v>
      </c>
      <c r="AG9">
        <f t="shared" si="0"/>
        <v>341</v>
      </c>
      <c r="AH9">
        <f t="shared" si="1"/>
        <v>342</v>
      </c>
      <c r="AI9">
        <f t="shared" si="2"/>
        <v>343</v>
      </c>
      <c r="AJ9" t="str">
        <f t="shared" si="3"/>
        <v/>
      </c>
      <c r="AK9" t="str">
        <f t="shared" si="4"/>
        <v/>
      </c>
      <c r="AL9" t="str">
        <f t="shared" si="5"/>
        <v/>
      </c>
      <c r="AM9" t="str">
        <f t="shared" si="6"/>
        <v/>
      </c>
      <c r="AN9" t="str">
        <f t="shared" si="7"/>
        <v/>
      </c>
      <c r="AO9" t="str">
        <f t="shared" si="8"/>
        <v/>
      </c>
      <c r="AP9" t="str">
        <f t="shared" si="9"/>
        <v/>
      </c>
    </row>
    <row r="10" spans="1:42">
      <c r="A10">
        <v>341</v>
      </c>
      <c r="B10">
        <v>343</v>
      </c>
      <c r="D10" t="s">
        <v>39</v>
      </c>
      <c r="E10" t="s">
        <v>34</v>
      </c>
      <c r="F10" t="s">
        <v>56</v>
      </c>
      <c r="H10">
        <f>IF(H$9+$AE$2&lt;$B3+1,H$9+$AE$2,"")</f>
        <v>196</v>
      </c>
      <c r="I10" t="str">
        <f>MID($D3,2,1)</f>
        <v>L</v>
      </c>
      <c r="J10" t="str">
        <f>MID($F3,2,1)</f>
        <v>L</v>
      </c>
      <c r="M10" t="str">
        <f t="shared" si="10"/>
        <v>T</v>
      </c>
      <c r="N10" t="str">
        <f t="shared" si="11"/>
        <v>V</v>
      </c>
      <c r="O10" t="str">
        <f t="shared" si="12"/>
        <v>G</v>
      </c>
      <c r="P10" t="str">
        <f t="shared" si="13"/>
        <v/>
      </c>
      <c r="Q10" t="str">
        <f t="shared" si="14"/>
        <v/>
      </c>
      <c r="R10" t="str">
        <f t="shared" si="15"/>
        <v/>
      </c>
      <c r="S10" t="str">
        <f t="shared" si="16"/>
        <v/>
      </c>
      <c r="U10" t="str">
        <f t="shared" si="17"/>
        <v/>
      </c>
      <c r="V10" t="str">
        <f t="shared" si="18"/>
        <v>V</v>
      </c>
      <c r="W10" t="str">
        <f t="shared" si="19"/>
        <v>V</v>
      </c>
      <c r="X10" t="str">
        <f t="shared" si="20"/>
        <v>A</v>
      </c>
      <c r="Y10" t="str">
        <f t="shared" si="21"/>
        <v/>
      </c>
      <c r="Z10" t="str">
        <f t="shared" si="22"/>
        <v/>
      </c>
      <c r="AA10" t="str">
        <f t="shared" si="25"/>
        <v/>
      </c>
      <c r="AB10" t="str">
        <f t="shared" si="23"/>
        <v/>
      </c>
      <c r="AC10" t="str">
        <f t="shared" si="24"/>
        <v/>
      </c>
      <c r="AE10">
        <v>9</v>
      </c>
      <c r="AG10">
        <f t="shared" si="0"/>
        <v>363</v>
      </c>
      <c r="AH10">
        <f t="shared" si="1"/>
        <v>364</v>
      </c>
      <c r="AI10">
        <f t="shared" si="2"/>
        <v>365</v>
      </c>
      <c r="AJ10">
        <f t="shared" si="3"/>
        <v>366</v>
      </c>
      <c r="AK10">
        <f t="shared" si="4"/>
        <v>367</v>
      </c>
      <c r="AL10">
        <f t="shared" si="5"/>
        <v>368</v>
      </c>
      <c r="AM10" t="str">
        <f t="shared" si="6"/>
        <v/>
      </c>
      <c r="AN10" t="str">
        <f t="shared" si="7"/>
        <v/>
      </c>
      <c r="AO10" t="str">
        <f t="shared" si="8"/>
        <v/>
      </c>
      <c r="AP10" t="str">
        <f t="shared" si="9"/>
        <v/>
      </c>
    </row>
    <row r="11" spans="1:42">
      <c r="A11">
        <v>363</v>
      </c>
      <c r="B11">
        <v>368</v>
      </c>
      <c r="D11" t="s">
        <v>57</v>
      </c>
      <c r="E11" t="s">
        <v>34</v>
      </c>
      <c r="F11" t="s">
        <v>58</v>
      </c>
      <c r="H11">
        <f>IF(H$9+$AE$3&lt;$B3+1,H$9+$AE$3,"")</f>
        <v>197</v>
      </c>
      <c r="I11" t="str">
        <f>MID($D3,3,1)</f>
        <v>D</v>
      </c>
      <c r="J11" t="str">
        <f>MID($F3,3,1)</f>
        <v>N</v>
      </c>
      <c r="M11" t="str">
        <f t="shared" si="10"/>
        <v>N</v>
      </c>
      <c r="N11" t="str">
        <f t="shared" si="11"/>
        <v>L</v>
      </c>
      <c r="O11" t="str">
        <f t="shared" si="12"/>
        <v>S</v>
      </c>
      <c r="P11" t="str">
        <f t="shared" si="13"/>
        <v>A</v>
      </c>
      <c r="Q11" t="str">
        <f t="shared" si="14"/>
        <v>H</v>
      </c>
      <c r="R11" t="str">
        <f t="shared" si="15"/>
        <v>D</v>
      </c>
      <c r="S11" t="str">
        <f t="shared" si="16"/>
        <v/>
      </c>
      <c r="U11" t="str">
        <f t="shared" si="17"/>
        <v/>
      </c>
      <c r="V11" t="str">
        <f t="shared" si="18"/>
        <v>V</v>
      </c>
      <c r="W11" t="str">
        <f t="shared" si="19"/>
        <v>L</v>
      </c>
      <c r="X11" t="str">
        <f t="shared" si="20"/>
        <v>E</v>
      </c>
      <c r="Y11" t="str">
        <f t="shared" si="21"/>
        <v>A</v>
      </c>
      <c r="Z11" t="str">
        <f t="shared" si="22"/>
        <v>A</v>
      </c>
      <c r="AA11" t="str">
        <f t="shared" si="25"/>
        <v>F</v>
      </c>
      <c r="AB11" t="str">
        <f t="shared" si="23"/>
        <v/>
      </c>
      <c r="AC11" t="str">
        <f t="shared" si="24"/>
        <v/>
      </c>
      <c r="AE11">
        <v>10</v>
      </c>
      <c r="AG11">
        <f t="shared" si="0"/>
        <v>387</v>
      </c>
      <c r="AH11" t="str">
        <f t="shared" si="1"/>
        <v/>
      </c>
      <c r="AI11" t="str">
        <f t="shared" si="2"/>
        <v/>
      </c>
      <c r="AJ11" t="str">
        <f t="shared" si="3"/>
        <v/>
      </c>
      <c r="AK11" t="str">
        <f t="shared" si="4"/>
        <v/>
      </c>
      <c r="AL11" t="str">
        <f t="shared" si="5"/>
        <v/>
      </c>
      <c r="AM11" t="str">
        <f t="shared" si="6"/>
        <v/>
      </c>
      <c r="AN11" t="str">
        <f t="shared" si="7"/>
        <v/>
      </c>
      <c r="AO11" t="str">
        <f t="shared" si="8"/>
        <v/>
      </c>
      <c r="AP11" t="str">
        <f t="shared" si="9"/>
        <v/>
      </c>
    </row>
    <row r="12" spans="1:42">
      <c r="A12">
        <v>387</v>
      </c>
      <c r="B12">
        <v>387</v>
      </c>
      <c r="D12" t="s">
        <v>51</v>
      </c>
      <c r="E12" t="s">
        <v>34</v>
      </c>
      <c r="F12" t="s">
        <v>59</v>
      </c>
      <c r="H12" t="str">
        <f>IF(H$9+$AE$4&lt;$B3+1,H$9+$AE$4,"")</f>
        <v/>
      </c>
      <c r="I12" t="str">
        <f>MID($D3,4,1)</f>
        <v/>
      </c>
      <c r="J12" t="str">
        <f>MID($F3,4,1)</f>
        <v/>
      </c>
      <c r="M12" t="str">
        <f t="shared" si="10"/>
        <v>L</v>
      </c>
      <c r="N12" t="str">
        <f t="shared" si="11"/>
        <v/>
      </c>
      <c r="O12" t="str">
        <f t="shared" si="12"/>
        <v/>
      </c>
      <c r="P12" t="str">
        <f t="shared" si="13"/>
        <v/>
      </c>
      <c r="Q12" t="str">
        <f t="shared" si="14"/>
        <v/>
      </c>
      <c r="R12" t="str">
        <f t="shared" si="15"/>
        <v/>
      </c>
      <c r="S12" t="str">
        <f t="shared" si="16"/>
        <v/>
      </c>
      <c r="U12" t="str">
        <f t="shared" si="17"/>
        <v/>
      </c>
      <c r="V12" t="str">
        <f t="shared" si="18"/>
        <v>I</v>
      </c>
      <c r="W12" t="str">
        <f t="shared" si="19"/>
        <v/>
      </c>
      <c r="X12" t="str">
        <f t="shared" si="20"/>
        <v/>
      </c>
      <c r="Y12" t="str">
        <f t="shared" si="21"/>
        <v/>
      </c>
      <c r="Z12" t="str">
        <f t="shared" si="22"/>
        <v/>
      </c>
      <c r="AA12" t="str">
        <f t="shared" si="25"/>
        <v/>
      </c>
      <c r="AB12" t="str">
        <f t="shared" si="23"/>
        <v/>
      </c>
      <c r="AC12" t="str">
        <f t="shared" si="24"/>
        <v/>
      </c>
      <c r="AE12">
        <v>11</v>
      </c>
      <c r="AG12">
        <f t="shared" si="0"/>
        <v>410</v>
      </c>
      <c r="AH12" t="str">
        <f t="shared" si="1"/>
        <v/>
      </c>
      <c r="AI12" t="str">
        <f t="shared" si="2"/>
        <v/>
      </c>
      <c r="AJ12" t="str">
        <f t="shared" si="3"/>
        <v/>
      </c>
      <c r="AK12" t="str">
        <f t="shared" si="4"/>
        <v/>
      </c>
      <c r="AL12" t="str">
        <f t="shared" si="5"/>
        <v/>
      </c>
      <c r="AM12" t="str">
        <f t="shared" si="6"/>
        <v/>
      </c>
      <c r="AN12" t="str">
        <f t="shared" si="7"/>
        <v/>
      </c>
      <c r="AO12" t="str">
        <f t="shared" si="8"/>
        <v/>
      </c>
      <c r="AP12" t="str">
        <f t="shared" si="9"/>
        <v/>
      </c>
    </row>
    <row r="13" spans="1:42">
      <c r="A13">
        <v>410</v>
      </c>
      <c r="B13">
        <v>410</v>
      </c>
      <c r="D13" t="s">
        <v>60</v>
      </c>
      <c r="E13" t="s">
        <v>34</v>
      </c>
      <c r="F13" t="s">
        <v>59</v>
      </c>
      <c r="H13" t="str">
        <f>IF(H$9+$AE$5&lt;$B3+1,H$9+$AE$5,"")</f>
        <v/>
      </c>
      <c r="I13" t="str">
        <f>MID($D3,5,1)</f>
        <v/>
      </c>
      <c r="J13" t="str">
        <f>MID($F3,5,1)</f>
        <v/>
      </c>
      <c r="M13" t="str">
        <f t="shared" si="10"/>
        <v>F</v>
      </c>
      <c r="N13" t="str">
        <f t="shared" si="11"/>
        <v/>
      </c>
      <c r="O13" t="str">
        <f t="shared" si="12"/>
        <v/>
      </c>
      <c r="P13" t="str">
        <f t="shared" si="13"/>
        <v/>
      </c>
      <c r="Q13" t="str">
        <f t="shared" si="14"/>
        <v/>
      </c>
      <c r="R13" t="str">
        <f t="shared" si="15"/>
        <v/>
      </c>
      <c r="S13" t="str">
        <f t="shared" si="16"/>
        <v/>
      </c>
      <c r="U13" t="str">
        <f t="shared" si="17"/>
        <v/>
      </c>
      <c r="V13" t="str">
        <f t="shared" si="18"/>
        <v>I</v>
      </c>
      <c r="W13" t="str">
        <f t="shared" si="19"/>
        <v/>
      </c>
      <c r="X13" t="str">
        <f t="shared" si="20"/>
        <v/>
      </c>
      <c r="Y13" t="str">
        <f t="shared" si="21"/>
        <v/>
      </c>
      <c r="Z13" t="str">
        <f t="shared" si="22"/>
        <v/>
      </c>
      <c r="AA13" t="str">
        <f t="shared" si="25"/>
        <v/>
      </c>
      <c r="AB13" t="str">
        <f t="shared" si="23"/>
        <v/>
      </c>
      <c r="AC13" t="str">
        <f t="shared" si="24"/>
        <v/>
      </c>
      <c r="AE13">
        <v>12</v>
      </c>
      <c r="AG13">
        <f t="shared" si="0"/>
        <v>434</v>
      </c>
      <c r="AH13">
        <f t="shared" si="1"/>
        <v>435</v>
      </c>
      <c r="AI13">
        <f t="shared" si="2"/>
        <v>436</v>
      </c>
      <c r="AJ13" t="str">
        <f t="shared" si="3"/>
        <v/>
      </c>
      <c r="AK13" t="str">
        <f t="shared" si="4"/>
        <v/>
      </c>
      <c r="AL13" t="str">
        <f t="shared" si="5"/>
        <v/>
      </c>
      <c r="AM13" t="str">
        <f t="shared" si="6"/>
        <v/>
      </c>
      <c r="AN13" t="str">
        <f t="shared" si="7"/>
        <v/>
      </c>
      <c r="AO13" t="str">
        <f t="shared" si="8"/>
        <v/>
      </c>
      <c r="AP13" t="str">
        <f t="shared" si="9"/>
        <v/>
      </c>
    </row>
    <row r="14" spans="1:42">
      <c r="A14">
        <v>434</v>
      </c>
      <c r="B14">
        <v>436</v>
      </c>
      <c r="D14" t="s">
        <v>40</v>
      </c>
      <c r="E14" t="s">
        <v>34</v>
      </c>
      <c r="F14" t="s">
        <v>47</v>
      </c>
      <c r="H14" t="str">
        <f>IF(H$9+$AE$6&lt;$B3+1,H$9+$AE$6,"")</f>
        <v/>
      </c>
      <c r="I14" t="str">
        <f>MID($D3,6,1)</f>
        <v/>
      </c>
      <c r="J14" t="str">
        <f>MID($F3,6,1)</f>
        <v/>
      </c>
      <c r="M14" t="str">
        <f t="shared" si="10"/>
        <v>T</v>
      </c>
      <c r="N14" t="str">
        <f t="shared" si="11"/>
        <v>L</v>
      </c>
      <c r="O14" t="str">
        <f t="shared" si="12"/>
        <v>S</v>
      </c>
      <c r="P14" t="str">
        <f t="shared" si="13"/>
        <v/>
      </c>
      <c r="Q14" t="str">
        <f t="shared" si="14"/>
        <v/>
      </c>
      <c r="R14" t="str">
        <f t="shared" si="15"/>
        <v/>
      </c>
      <c r="S14" t="str">
        <f t="shared" si="16"/>
        <v/>
      </c>
      <c r="U14" t="str">
        <f t="shared" si="17"/>
        <v/>
      </c>
      <c r="V14" t="str">
        <f t="shared" si="18"/>
        <v>I</v>
      </c>
      <c r="W14" t="str">
        <f t="shared" si="19"/>
        <v>L</v>
      </c>
      <c r="X14" t="str">
        <f t="shared" si="20"/>
        <v>N</v>
      </c>
      <c r="Y14" t="str">
        <f t="shared" si="21"/>
        <v/>
      </c>
      <c r="Z14" t="str">
        <f t="shared" si="22"/>
        <v/>
      </c>
      <c r="AA14" t="str">
        <f t="shared" si="25"/>
        <v/>
      </c>
      <c r="AB14" t="str">
        <f t="shared" si="23"/>
        <v/>
      </c>
      <c r="AC14" t="str">
        <f t="shared" si="24"/>
        <v/>
      </c>
      <c r="AE14">
        <v>13</v>
      </c>
      <c r="AG14">
        <f t="shared" si="0"/>
        <v>460</v>
      </c>
      <c r="AH14" t="str">
        <f t="shared" si="1"/>
        <v/>
      </c>
      <c r="AI14" t="str">
        <f t="shared" si="2"/>
        <v/>
      </c>
      <c r="AJ14" t="str">
        <f t="shared" si="3"/>
        <v/>
      </c>
      <c r="AK14" t="str">
        <f t="shared" si="4"/>
        <v/>
      </c>
      <c r="AL14" t="str">
        <f t="shared" si="5"/>
        <v/>
      </c>
      <c r="AM14" t="str">
        <f t="shared" si="6"/>
        <v/>
      </c>
    </row>
    <row r="15" spans="1:42">
      <c r="A15">
        <v>460</v>
      </c>
      <c r="B15">
        <v>460</v>
      </c>
      <c r="D15" t="s">
        <v>61</v>
      </c>
      <c r="E15" t="s">
        <v>34</v>
      </c>
      <c r="F15" t="s">
        <v>62</v>
      </c>
      <c r="H15" t="str">
        <f>IF(H$9+$AE$7&lt;$B3+1,H$9+$AE$7,"")</f>
        <v/>
      </c>
      <c r="I15" t="str">
        <f>MID($D3,7,1)</f>
        <v/>
      </c>
      <c r="J15" t="str">
        <f>MID($D3,7,1)</f>
        <v/>
      </c>
      <c r="M15" t="str">
        <f t="shared" si="10"/>
        <v>Q</v>
      </c>
      <c r="N15" t="str">
        <f t="shared" si="11"/>
        <v/>
      </c>
      <c r="O15" t="str">
        <f t="shared" si="12"/>
        <v/>
      </c>
      <c r="P15" t="str">
        <f t="shared" si="13"/>
        <v/>
      </c>
      <c r="Q15" t="str">
        <f t="shared" si="14"/>
        <v/>
      </c>
      <c r="R15" t="str">
        <f t="shared" si="15"/>
        <v/>
      </c>
      <c r="S15" t="str">
        <f t="shared" si="16"/>
        <v/>
      </c>
      <c r="V15" t="str">
        <f t="shared" si="18"/>
        <v>M</v>
      </c>
      <c r="W15" t="str">
        <f t="shared" si="19"/>
        <v/>
      </c>
      <c r="X15" t="str">
        <f t="shared" si="20"/>
        <v/>
      </c>
      <c r="Y15" t="str">
        <f t="shared" si="21"/>
        <v/>
      </c>
      <c r="Z15" t="str">
        <f t="shared" si="22"/>
        <v/>
      </c>
      <c r="AA15" t="str">
        <f t="shared" si="25"/>
        <v/>
      </c>
      <c r="AB15" t="str">
        <f t="shared" si="23"/>
        <v/>
      </c>
      <c r="AE15">
        <v>14</v>
      </c>
      <c r="AG15">
        <f t="shared" si="0"/>
        <v>0</v>
      </c>
      <c r="AH15" t="str">
        <f t="shared" si="1"/>
        <v/>
      </c>
      <c r="AI15" t="str">
        <f t="shared" si="2"/>
        <v/>
      </c>
      <c r="AJ15" t="str">
        <f t="shared" si="3"/>
        <v/>
      </c>
      <c r="AK15" t="str">
        <f t="shared" si="4"/>
        <v/>
      </c>
      <c r="AL15" t="str">
        <f t="shared" si="5"/>
        <v/>
      </c>
      <c r="AM15" t="str">
        <f t="shared" si="6"/>
        <v/>
      </c>
    </row>
    <row r="16" spans="1:42">
      <c r="H16">
        <f>IF($A4+1=$A4,$B4,$A4)</f>
        <v>219</v>
      </c>
      <c r="I16" t="str">
        <f>MID($D4,1,1)</f>
        <v>S</v>
      </c>
      <c r="J16" t="str">
        <f>MID($F4,1,1)</f>
        <v>K</v>
      </c>
      <c r="M16" t="str">
        <f t="shared" si="10"/>
        <v/>
      </c>
      <c r="N16" t="str">
        <f t="shared" si="11"/>
        <v/>
      </c>
      <c r="O16" t="str">
        <f t="shared" si="12"/>
        <v/>
      </c>
      <c r="P16" t="str">
        <f t="shared" si="13"/>
        <v/>
      </c>
      <c r="Q16" t="str">
        <f t="shared" si="14"/>
        <v/>
      </c>
      <c r="R16" t="str">
        <f t="shared" si="15"/>
        <v/>
      </c>
      <c r="S16" t="str">
        <f t="shared" si="16"/>
        <v/>
      </c>
      <c r="V16" t="str">
        <f t="shared" si="18"/>
        <v/>
      </c>
      <c r="W16" t="str">
        <f t="shared" si="19"/>
        <v/>
      </c>
      <c r="X16" t="str">
        <f t="shared" si="20"/>
        <v/>
      </c>
      <c r="Y16" t="str">
        <f t="shared" si="21"/>
        <v/>
      </c>
      <c r="Z16" t="str">
        <f t="shared" si="22"/>
        <v/>
      </c>
      <c r="AA16" t="str">
        <f t="shared" si="25"/>
        <v/>
      </c>
      <c r="AB16" t="str">
        <f t="shared" si="23"/>
        <v/>
      </c>
      <c r="AE16">
        <v>15</v>
      </c>
      <c r="AG16">
        <f t="shared" si="0"/>
        <v>0</v>
      </c>
      <c r="AH16" t="str">
        <f t="shared" si="1"/>
        <v/>
      </c>
      <c r="AI16" t="str">
        <f t="shared" si="2"/>
        <v/>
      </c>
      <c r="AJ16" t="str">
        <f t="shared" si="3"/>
        <v/>
      </c>
      <c r="AK16" t="str">
        <f t="shared" si="4"/>
        <v/>
      </c>
      <c r="AL16" t="str">
        <f t="shared" si="5"/>
        <v/>
      </c>
      <c r="AM16" t="str">
        <f t="shared" si="6"/>
        <v/>
      </c>
    </row>
    <row r="17" spans="8:39">
      <c r="H17" t="str">
        <f>IF(H$16+$AE$2&lt;$B4+1,H$16+$AE$2,"")</f>
        <v/>
      </c>
      <c r="I17" t="str">
        <f>MID($D4,2,1)</f>
        <v/>
      </c>
      <c r="J17" t="str">
        <f>MID($F4,2,1)</f>
        <v/>
      </c>
      <c r="M17" t="str">
        <f t="shared" si="10"/>
        <v/>
      </c>
      <c r="N17" t="str">
        <f t="shared" si="11"/>
        <v/>
      </c>
      <c r="O17" t="str">
        <f t="shared" si="12"/>
        <v/>
      </c>
      <c r="P17" t="str">
        <f t="shared" si="13"/>
        <v/>
      </c>
      <c r="Q17" t="str">
        <f t="shared" si="14"/>
        <v/>
      </c>
      <c r="R17" t="str">
        <f t="shared" si="15"/>
        <v/>
      </c>
      <c r="S17" t="str">
        <f t="shared" si="16"/>
        <v/>
      </c>
      <c r="V17" t="str">
        <f t="shared" si="18"/>
        <v/>
      </c>
      <c r="W17" t="str">
        <f t="shared" si="19"/>
        <v/>
      </c>
      <c r="X17" t="str">
        <f t="shared" si="20"/>
        <v/>
      </c>
      <c r="Y17" t="str">
        <f t="shared" si="21"/>
        <v/>
      </c>
      <c r="Z17" t="str">
        <f t="shared" si="22"/>
        <v/>
      </c>
      <c r="AA17" t="str">
        <f t="shared" si="25"/>
        <v/>
      </c>
      <c r="AB17" t="str">
        <f t="shared" si="23"/>
        <v/>
      </c>
      <c r="AE17">
        <v>16</v>
      </c>
      <c r="AG17">
        <f t="shared" si="0"/>
        <v>0</v>
      </c>
      <c r="AH17" t="str">
        <f t="shared" si="1"/>
        <v/>
      </c>
      <c r="AI17" t="str">
        <f t="shared" si="2"/>
        <v/>
      </c>
      <c r="AJ17" t="str">
        <f t="shared" si="3"/>
        <v/>
      </c>
      <c r="AK17" t="str">
        <f t="shared" si="4"/>
        <v/>
      </c>
      <c r="AL17" t="str">
        <f t="shared" si="5"/>
        <v/>
      </c>
      <c r="AM17" t="str">
        <f t="shared" si="6"/>
        <v/>
      </c>
    </row>
    <row r="18" spans="8:39">
      <c r="H18" t="str">
        <f>IF(H$16+$AE$3&lt;$B4+1,H$16+$AE$3,"")</f>
        <v/>
      </c>
      <c r="I18" t="str">
        <f>MID($D4,3,1)</f>
        <v/>
      </c>
      <c r="J18" t="str">
        <f>MID($F4,3,1)</f>
        <v/>
      </c>
      <c r="M18" t="str">
        <f t="shared" si="10"/>
        <v/>
      </c>
      <c r="N18" t="str">
        <f t="shared" si="11"/>
        <v/>
      </c>
      <c r="O18" t="str">
        <f t="shared" si="12"/>
        <v/>
      </c>
      <c r="P18" t="str">
        <f t="shared" si="13"/>
        <v/>
      </c>
      <c r="Q18" t="str">
        <f t="shared" si="14"/>
        <v/>
      </c>
      <c r="R18" t="str">
        <f t="shared" si="15"/>
        <v/>
      </c>
      <c r="S18" t="str">
        <f t="shared" si="16"/>
        <v/>
      </c>
      <c r="V18" t="str">
        <f t="shared" si="18"/>
        <v/>
      </c>
      <c r="W18" t="str">
        <f t="shared" si="19"/>
        <v/>
      </c>
      <c r="X18" t="str">
        <f t="shared" si="20"/>
        <v/>
      </c>
      <c r="Y18" t="str">
        <f t="shared" si="21"/>
        <v/>
      </c>
      <c r="Z18" t="str">
        <f t="shared" si="22"/>
        <v/>
      </c>
      <c r="AA18" t="str">
        <f t="shared" si="25"/>
        <v/>
      </c>
      <c r="AB18" t="str">
        <f t="shared" si="25"/>
        <v/>
      </c>
      <c r="AE18">
        <v>17</v>
      </c>
      <c r="AG18">
        <f t="shared" si="0"/>
        <v>0</v>
      </c>
      <c r="AH18" t="str">
        <f t="shared" si="1"/>
        <v/>
      </c>
      <c r="AI18" t="str">
        <f t="shared" si="2"/>
        <v/>
      </c>
      <c r="AJ18" t="str">
        <f t="shared" si="3"/>
        <v/>
      </c>
      <c r="AK18" t="str">
        <f t="shared" si="4"/>
        <v/>
      </c>
      <c r="AL18" t="str">
        <f t="shared" si="5"/>
        <v/>
      </c>
      <c r="AM18" t="str">
        <f t="shared" si="6"/>
        <v/>
      </c>
    </row>
    <row r="19" spans="8:39">
      <c r="H19" t="str">
        <f>IF(H$16+$AE$4&lt;$B4+1,H$16+$AE$4,"")</f>
        <v/>
      </c>
      <c r="I19" t="str">
        <f>MID($D4,4,1)</f>
        <v/>
      </c>
      <c r="J19" t="str">
        <f>MID($F4,4,1)</f>
        <v/>
      </c>
      <c r="M19" t="str">
        <f t="shared" si="10"/>
        <v/>
      </c>
      <c r="N19" t="str">
        <f t="shared" si="11"/>
        <v/>
      </c>
      <c r="O19" t="str">
        <f t="shared" si="12"/>
        <v/>
      </c>
      <c r="P19" t="str">
        <f t="shared" si="13"/>
        <v/>
      </c>
      <c r="Q19" t="str">
        <f t="shared" si="14"/>
        <v/>
      </c>
      <c r="R19" t="str">
        <f t="shared" si="15"/>
        <v/>
      </c>
      <c r="S19" t="str">
        <f t="shared" si="16"/>
        <v/>
      </c>
      <c r="V19" t="str">
        <f t="shared" si="18"/>
        <v/>
      </c>
      <c r="W19" t="str">
        <f t="shared" si="19"/>
        <v/>
      </c>
      <c r="X19" t="str">
        <f t="shared" si="20"/>
        <v/>
      </c>
      <c r="Y19" t="str">
        <f t="shared" si="21"/>
        <v/>
      </c>
      <c r="Z19" t="str">
        <f t="shared" si="22"/>
        <v/>
      </c>
      <c r="AA19" t="str">
        <f t="shared" si="25"/>
        <v/>
      </c>
      <c r="AB19" t="str">
        <f t="shared" si="25"/>
        <v/>
      </c>
      <c r="AE19">
        <v>18</v>
      </c>
      <c r="AG19">
        <f t="shared" si="0"/>
        <v>0</v>
      </c>
      <c r="AH19" t="str">
        <f t="shared" si="1"/>
        <v/>
      </c>
      <c r="AI19" t="str">
        <f t="shared" si="2"/>
        <v/>
      </c>
      <c r="AJ19" t="str">
        <f t="shared" si="3"/>
        <v/>
      </c>
      <c r="AK19" t="str">
        <f t="shared" si="4"/>
        <v/>
      </c>
      <c r="AL19" t="str">
        <f t="shared" si="5"/>
        <v/>
      </c>
      <c r="AM19" t="str">
        <f t="shared" si="6"/>
        <v/>
      </c>
    </row>
    <row r="20" spans="8:39">
      <c r="H20" t="str">
        <f>IF(H$16+$AE$5&lt;$B4+1,H$16+$AE$5,"")</f>
        <v/>
      </c>
      <c r="I20" t="str">
        <f>MID($D4,5,1)</f>
        <v/>
      </c>
      <c r="J20" t="str">
        <f>MID($F4,5,1)</f>
        <v/>
      </c>
      <c r="M20" t="str">
        <f t="shared" si="10"/>
        <v/>
      </c>
      <c r="N20" t="str">
        <f t="shared" si="11"/>
        <v/>
      </c>
      <c r="O20" t="str">
        <f t="shared" si="12"/>
        <v/>
      </c>
      <c r="P20" t="str">
        <f t="shared" si="13"/>
        <v/>
      </c>
      <c r="Q20" t="str">
        <f t="shared" si="14"/>
        <v/>
      </c>
      <c r="R20" t="str">
        <f t="shared" si="15"/>
        <v/>
      </c>
      <c r="S20" t="str">
        <f t="shared" si="16"/>
        <v/>
      </c>
      <c r="V20" t="str">
        <f t="shared" si="18"/>
        <v/>
      </c>
      <c r="W20" t="str">
        <f t="shared" si="19"/>
        <v/>
      </c>
      <c r="X20" t="str">
        <f t="shared" si="20"/>
        <v/>
      </c>
      <c r="Y20" t="str">
        <f t="shared" si="21"/>
        <v/>
      </c>
      <c r="Z20" t="str">
        <f t="shared" si="22"/>
        <v/>
      </c>
      <c r="AA20" t="str">
        <f t="shared" si="25"/>
        <v/>
      </c>
      <c r="AB20" t="str">
        <f t="shared" si="25"/>
        <v/>
      </c>
      <c r="AE20">
        <v>19</v>
      </c>
      <c r="AG20">
        <f t="shared" si="0"/>
        <v>0</v>
      </c>
      <c r="AH20" t="str">
        <f t="shared" si="1"/>
        <v/>
      </c>
      <c r="AI20" t="str">
        <f t="shared" si="2"/>
        <v/>
      </c>
      <c r="AJ20" t="str">
        <f t="shared" si="3"/>
        <v/>
      </c>
      <c r="AK20" t="str">
        <f t="shared" si="4"/>
        <v/>
      </c>
      <c r="AL20" t="str">
        <f t="shared" si="5"/>
        <v/>
      </c>
      <c r="AM20" t="str">
        <f t="shared" si="6"/>
        <v/>
      </c>
    </row>
    <row r="21" spans="8:39">
      <c r="H21" t="str">
        <f>IF(H$16+$AE$6&lt;$B4+1,H$16+$AE$6,"")</f>
        <v/>
      </c>
      <c r="I21" t="str">
        <f>MID($D4,6,1)</f>
        <v/>
      </c>
      <c r="J21" t="str">
        <f>MID($F4,6,1)</f>
        <v/>
      </c>
      <c r="M21" t="str">
        <f t="shared" si="10"/>
        <v/>
      </c>
      <c r="N21" t="str">
        <f t="shared" si="11"/>
        <v/>
      </c>
      <c r="O21" t="str">
        <f t="shared" si="12"/>
        <v/>
      </c>
      <c r="P21" t="str">
        <f t="shared" si="13"/>
        <v/>
      </c>
      <c r="Q21" t="str">
        <f t="shared" si="14"/>
        <v/>
      </c>
      <c r="R21" t="str">
        <f t="shared" si="15"/>
        <v/>
      </c>
      <c r="S21" t="str">
        <f t="shared" si="16"/>
        <v/>
      </c>
      <c r="V21" t="str">
        <f t="shared" si="18"/>
        <v/>
      </c>
      <c r="W21" t="str">
        <f t="shared" si="19"/>
        <v/>
      </c>
      <c r="X21" t="str">
        <f t="shared" si="20"/>
        <v/>
      </c>
      <c r="Y21" t="str">
        <f t="shared" si="21"/>
        <v/>
      </c>
      <c r="Z21" t="str">
        <f t="shared" si="22"/>
        <v/>
      </c>
      <c r="AA21" t="str">
        <f t="shared" si="25"/>
        <v/>
      </c>
      <c r="AB21" t="str">
        <f t="shared" si="25"/>
        <v/>
      </c>
      <c r="AE21">
        <v>20</v>
      </c>
      <c r="AG21">
        <f t="shared" si="0"/>
        <v>0</v>
      </c>
      <c r="AH21" t="str">
        <f t="shared" si="1"/>
        <v/>
      </c>
      <c r="AI21" t="str">
        <f t="shared" si="2"/>
        <v/>
      </c>
      <c r="AJ21" t="str">
        <f t="shared" si="3"/>
        <v/>
      </c>
      <c r="AK21" t="str">
        <f t="shared" si="4"/>
        <v/>
      </c>
      <c r="AL21" t="str">
        <f t="shared" si="5"/>
        <v/>
      </c>
      <c r="AM21" t="str">
        <f t="shared" si="6"/>
        <v/>
      </c>
    </row>
    <row r="22" spans="8:39">
      <c r="H22" t="str">
        <f>IF(H$16+$AE$7&lt;$B4+1,H$16+$AE$7,"")</f>
        <v/>
      </c>
      <c r="I22" t="str">
        <f>MID($D4,7,1)</f>
        <v/>
      </c>
      <c r="J22" t="str">
        <f>MID($D4,7,1)</f>
        <v/>
      </c>
      <c r="M22" t="str">
        <f t="shared" si="10"/>
        <v/>
      </c>
      <c r="N22" t="str">
        <f t="shared" si="11"/>
        <v/>
      </c>
      <c r="O22" t="str">
        <f t="shared" si="12"/>
        <v/>
      </c>
      <c r="P22" t="str">
        <f t="shared" si="13"/>
        <v/>
      </c>
      <c r="Q22" t="str">
        <f t="shared" si="14"/>
        <v/>
      </c>
      <c r="R22" t="str">
        <f t="shared" si="15"/>
        <v/>
      </c>
      <c r="S22" t="str">
        <f t="shared" si="16"/>
        <v/>
      </c>
      <c r="V22" t="str">
        <f t="shared" si="18"/>
        <v/>
      </c>
      <c r="W22" t="str">
        <f t="shared" si="19"/>
        <v/>
      </c>
      <c r="X22" t="str">
        <f t="shared" si="20"/>
        <v/>
      </c>
      <c r="Y22" t="str">
        <f t="shared" si="21"/>
        <v/>
      </c>
      <c r="Z22" t="str">
        <f t="shared" si="22"/>
        <v/>
      </c>
      <c r="AA22" t="str">
        <f t="shared" si="25"/>
        <v/>
      </c>
      <c r="AB22" t="str">
        <f t="shared" si="25"/>
        <v/>
      </c>
      <c r="AE22">
        <v>21</v>
      </c>
      <c r="AG22">
        <f t="shared" si="0"/>
        <v>0</v>
      </c>
      <c r="AH22" t="str">
        <f t="shared" si="1"/>
        <v/>
      </c>
      <c r="AI22" t="str">
        <f t="shared" si="2"/>
        <v/>
      </c>
      <c r="AJ22" t="str">
        <f t="shared" si="3"/>
        <v/>
      </c>
      <c r="AK22" t="str">
        <f t="shared" si="4"/>
        <v/>
      </c>
      <c r="AL22" t="str">
        <f t="shared" si="5"/>
        <v/>
      </c>
      <c r="AM22" t="str">
        <f t="shared" si="6"/>
        <v/>
      </c>
    </row>
    <row r="23" spans="8:39">
      <c r="H23">
        <f>IF($A5+1=$A5,$B5,$A5)</f>
        <v>242</v>
      </c>
      <c r="I23" t="str">
        <f>MID($D5,1,1)</f>
        <v>V</v>
      </c>
      <c r="J23" t="str">
        <f>MID($F5,1,1)</f>
        <v>K</v>
      </c>
      <c r="M23" t="str">
        <f t="shared" si="10"/>
        <v/>
      </c>
      <c r="N23" t="str">
        <f t="shared" si="11"/>
        <v/>
      </c>
      <c r="O23" t="str">
        <f t="shared" si="12"/>
        <v/>
      </c>
      <c r="P23" t="str">
        <f t="shared" si="13"/>
        <v/>
      </c>
      <c r="Q23" t="str">
        <f t="shared" si="14"/>
        <v/>
      </c>
      <c r="R23" t="str">
        <f t="shared" si="15"/>
        <v/>
      </c>
      <c r="S23" t="str">
        <f t="shared" si="16"/>
        <v/>
      </c>
      <c r="V23" t="str">
        <f t="shared" si="18"/>
        <v/>
      </c>
      <c r="W23" t="str">
        <f t="shared" si="19"/>
        <v/>
      </c>
      <c r="X23" t="str">
        <f t="shared" si="20"/>
        <v/>
      </c>
      <c r="Y23" t="str">
        <f t="shared" si="21"/>
        <v/>
      </c>
      <c r="Z23" t="str">
        <f t="shared" si="22"/>
        <v/>
      </c>
      <c r="AA23" t="str">
        <f t="shared" si="25"/>
        <v/>
      </c>
      <c r="AB23" t="str">
        <f t="shared" si="25"/>
        <v/>
      </c>
      <c r="AE23">
        <v>22</v>
      </c>
      <c r="AG23">
        <f t="shared" si="0"/>
        <v>0</v>
      </c>
      <c r="AH23" t="str">
        <f t="shared" si="1"/>
        <v/>
      </c>
      <c r="AI23" t="str">
        <f t="shared" si="2"/>
        <v/>
      </c>
      <c r="AJ23" t="str">
        <f t="shared" si="3"/>
        <v/>
      </c>
      <c r="AK23" t="str">
        <f t="shared" si="4"/>
        <v/>
      </c>
      <c r="AL23" t="str">
        <f t="shared" si="5"/>
        <v/>
      </c>
      <c r="AM23" t="str">
        <f t="shared" si="6"/>
        <v/>
      </c>
    </row>
    <row r="24" spans="8:39">
      <c r="H24" t="str">
        <f>IF(H$23+$AE$2&lt;$B5+1,H$23+$AE$2,"")</f>
        <v/>
      </c>
      <c r="I24" t="str">
        <f>MID($D5,2,1)</f>
        <v/>
      </c>
      <c r="J24" t="str">
        <f>MID($F5,2,1)</f>
        <v/>
      </c>
      <c r="M24" t="str">
        <f t="shared" si="10"/>
        <v/>
      </c>
      <c r="O24" t="str">
        <f t="shared" si="12"/>
        <v/>
      </c>
      <c r="P24" t="str">
        <f t="shared" si="13"/>
        <v/>
      </c>
      <c r="Q24" t="str">
        <f t="shared" si="14"/>
        <v/>
      </c>
      <c r="R24" t="str">
        <f t="shared" si="15"/>
        <v/>
      </c>
      <c r="W24" t="str">
        <f t="shared" si="19"/>
        <v/>
      </c>
      <c r="X24" t="str">
        <f t="shared" si="20"/>
        <v/>
      </c>
      <c r="Y24" t="str">
        <f t="shared" si="21"/>
        <v/>
      </c>
      <c r="Z24" t="str">
        <f t="shared" si="22"/>
        <v/>
      </c>
      <c r="AA24" t="str">
        <f t="shared" si="25"/>
        <v/>
      </c>
      <c r="AB24" t="str">
        <f t="shared" si="25"/>
        <v/>
      </c>
      <c r="AE24">
        <v>23</v>
      </c>
      <c r="AG24">
        <f t="shared" si="0"/>
        <v>0</v>
      </c>
      <c r="AH24" t="str">
        <f t="shared" si="1"/>
        <v/>
      </c>
      <c r="AI24" t="str">
        <f t="shared" si="2"/>
        <v/>
      </c>
      <c r="AJ24" t="str">
        <f t="shared" si="3"/>
        <v/>
      </c>
      <c r="AK24" t="str">
        <f t="shared" si="4"/>
        <v/>
      </c>
      <c r="AL24" t="str">
        <f t="shared" si="5"/>
        <v/>
      </c>
      <c r="AM24" t="str">
        <f t="shared" si="6"/>
        <v/>
      </c>
    </row>
    <row r="25" spans="8:39">
      <c r="H25" t="str">
        <f>IF(H$23+$AE$3&lt;$B5+1,H$23+$AE$3,"")</f>
        <v/>
      </c>
      <c r="I25" t="str">
        <f>MID($D5,3,1)</f>
        <v/>
      </c>
      <c r="J25" t="str">
        <f>MID($F5,3,1)</f>
        <v/>
      </c>
      <c r="M25" t="str">
        <f t="shared" si="10"/>
        <v/>
      </c>
      <c r="O25" t="str">
        <f t="shared" si="12"/>
        <v/>
      </c>
      <c r="P25" t="str">
        <f t="shared" si="13"/>
        <v/>
      </c>
      <c r="Q25" t="str">
        <f t="shared" si="14"/>
        <v/>
      </c>
      <c r="R25" t="str">
        <f t="shared" si="15"/>
        <v/>
      </c>
      <c r="Y25" t="str">
        <f t="shared" si="21"/>
        <v/>
      </c>
      <c r="AA25" t="str">
        <f t="shared" si="25"/>
        <v/>
      </c>
      <c r="AB25" t="str">
        <f t="shared" si="25"/>
        <v/>
      </c>
    </row>
    <row r="26" spans="8:39">
      <c r="H26" t="str">
        <f>IF(H$23+$AE$4&lt;$B5+1,H$23+$AE$4,"")</f>
        <v/>
      </c>
      <c r="I26" t="str">
        <f>MID($D5,4,1)</f>
        <v/>
      </c>
      <c r="J26" t="str">
        <f>MID($F5,4,1)</f>
        <v/>
      </c>
      <c r="P26" t="str">
        <f t="shared" si="13"/>
        <v/>
      </c>
      <c r="Q26" t="str">
        <f t="shared" si="14"/>
        <v/>
      </c>
      <c r="R26" t="str">
        <f t="shared" si="15"/>
        <v/>
      </c>
      <c r="Y26" t="str">
        <f t="shared" si="21"/>
        <v/>
      </c>
    </row>
    <row r="27" spans="8:39">
      <c r="H27" t="str">
        <f>IF(H$23+$AE$5&lt;$B5+1,H$23+$AE$5,"")</f>
        <v/>
      </c>
      <c r="I27" t="str">
        <f>MID($D5,5,1)</f>
        <v/>
      </c>
      <c r="J27" t="str">
        <f>MID($F5,5,1)</f>
        <v/>
      </c>
      <c r="P27" t="str">
        <f t="shared" si="13"/>
        <v/>
      </c>
      <c r="R27" t="str">
        <f t="shared" si="15"/>
        <v/>
      </c>
    </row>
    <row r="28" spans="8:39">
      <c r="H28" t="str">
        <f>IF(H$23+$AE$6&lt;$B5+1,H$23+$AE$6,"")</f>
        <v/>
      </c>
      <c r="I28" t="str">
        <f>MID($D5,6,1)</f>
        <v/>
      </c>
      <c r="J28" t="str">
        <f>MID($F5,6,1)</f>
        <v/>
      </c>
      <c r="P28" t="str">
        <f t="shared" si="13"/>
        <v/>
      </c>
      <c r="R28" t="str">
        <f t="shared" si="15"/>
        <v/>
      </c>
    </row>
    <row r="29" spans="8:39">
      <c r="H29" t="str">
        <f>IF(H$23+$AE$7&lt;$B5+1,H$23+$AE$7,"")</f>
        <v/>
      </c>
      <c r="I29" t="str">
        <f>MID($D5,7,1)</f>
        <v/>
      </c>
      <c r="J29" t="str">
        <f>MID($D5,7,1)</f>
        <v/>
      </c>
      <c r="P29" t="str">
        <f t="shared" si="13"/>
        <v/>
      </c>
      <c r="R29" t="str">
        <f t="shared" si="15"/>
        <v/>
      </c>
    </row>
    <row r="30" spans="8:39">
      <c r="H30">
        <f>IF($A6+1=$A6,$B6,$A6)</f>
        <v>245</v>
      </c>
      <c r="I30" t="str">
        <f>MID($D6,1,1)</f>
        <v>E</v>
      </c>
      <c r="J30" t="str">
        <f>MID($F6,1,1)</f>
        <v>L</v>
      </c>
      <c r="P30" t="str">
        <f t="shared" si="13"/>
        <v/>
      </c>
      <c r="R30" t="str">
        <f t="shared" si="15"/>
        <v/>
      </c>
    </row>
    <row r="31" spans="8:39">
      <c r="H31" t="str">
        <f>IF(H$30+$AE$2&lt;$B6+1,H$30+$AE$2,"")</f>
        <v/>
      </c>
      <c r="I31" t="str">
        <f>MID($D6,2,1)</f>
        <v/>
      </c>
      <c r="J31" t="str">
        <f>MID($F6,2,1)</f>
        <v/>
      </c>
      <c r="P31" t="str">
        <f t="shared" si="13"/>
        <v/>
      </c>
      <c r="R31" t="str">
        <f t="shared" si="15"/>
        <v/>
      </c>
    </row>
    <row r="32" spans="8:39">
      <c r="H32" t="str">
        <f>IF(H$30+$AE$3&lt;$B6+1,H$30+$AE$3,"")</f>
        <v/>
      </c>
      <c r="I32" t="str">
        <f>MID($D6,3,1)</f>
        <v/>
      </c>
      <c r="J32" t="str">
        <f>MID($F6,3,1)</f>
        <v/>
      </c>
      <c r="P32" t="str">
        <f t="shared" si="13"/>
        <v/>
      </c>
    </row>
    <row r="33" spans="8:10">
      <c r="H33" t="str">
        <f>IF(H$30+$AE$4&lt;$B6+1,H$30+$AE$4,"")</f>
        <v/>
      </c>
      <c r="I33" t="str">
        <f>MID($D6,4,1)</f>
        <v/>
      </c>
      <c r="J33" t="str">
        <f>MID($F6,4,1)</f>
        <v/>
      </c>
    </row>
    <row r="34" spans="8:10">
      <c r="H34" t="str">
        <f>IF(H$30+$AE$5&lt;$B6+1,H$30+$AE$5,"")</f>
        <v/>
      </c>
      <c r="I34" t="str">
        <f>MID($D6,5,1)</f>
        <v/>
      </c>
      <c r="J34" t="str">
        <f>MID($F6,5,1)</f>
        <v/>
      </c>
    </row>
    <row r="35" spans="8:10">
      <c r="H35" t="str">
        <f>IF(H$30+$AE$6&lt;$B6+1,H$30+$AE$6,"")</f>
        <v/>
      </c>
      <c r="I35" t="str">
        <f>MID($D6,6,1)</f>
        <v/>
      </c>
      <c r="J35" t="str">
        <f>MID($F6,6,1)</f>
        <v/>
      </c>
    </row>
    <row r="36" spans="8:10">
      <c r="H36" t="str">
        <f>IF(H$30+$AE$7&lt;$B6+1,H$30+$AE$7,"")</f>
        <v/>
      </c>
      <c r="I36" t="str">
        <f>MID($D6,7,1)</f>
        <v/>
      </c>
      <c r="J36" t="str">
        <f>MID($D6,7,1)</f>
        <v/>
      </c>
    </row>
    <row r="37" spans="8:10">
      <c r="H37">
        <f>IF($A7+1=$A7,$B7,$A7)</f>
        <v>266</v>
      </c>
      <c r="I37" t="str">
        <f>MID($D7,1,1)</f>
        <v>Q</v>
      </c>
      <c r="J37" t="str">
        <f>MID($F7,1,1)</f>
        <v>E</v>
      </c>
    </row>
    <row r="38" spans="8:10">
      <c r="H38">
        <f>IF(H$37+$AE$2&lt;$B7+1,H$37+$AE$2,"")</f>
        <v>267</v>
      </c>
      <c r="I38" t="str">
        <f>MID($D7,2,1)</f>
        <v>A</v>
      </c>
      <c r="J38" t="str">
        <f>MID($F7,2,1)</f>
        <v>I</v>
      </c>
    </row>
    <row r="39" spans="8:10">
      <c r="H39">
        <f>IF(H$37+$AE$3&lt;$B7+1,H$37+$AE$3,"")</f>
        <v>268</v>
      </c>
      <c r="I39" t="str">
        <f>MID($D7,3,1)</f>
        <v>L</v>
      </c>
      <c r="J39" t="str">
        <f>MID($F7,3,1)</f>
        <v>L</v>
      </c>
    </row>
    <row r="40" spans="8:10">
      <c r="H40">
        <f>IF(H$37+$AE$4&lt;$B7+1,H$37+$AE$4,"")</f>
        <v>269</v>
      </c>
      <c r="I40" t="str">
        <f>MID($D7,4,1)</f>
        <v>R</v>
      </c>
      <c r="J40" t="str">
        <f>MID($F7,4,1)</f>
        <v>I</v>
      </c>
    </row>
    <row r="41" spans="8:10">
      <c r="H41">
        <f>IF(H$37+$AE$5&lt;$B7+1,H$37+$AE$5,"")</f>
        <v>270</v>
      </c>
      <c r="I41" t="str">
        <f>MID($D7,5,1)</f>
        <v>I</v>
      </c>
      <c r="J41" t="str">
        <f>MID($F7,5,1)</f>
        <v>I</v>
      </c>
    </row>
    <row r="42" spans="8:10">
      <c r="H42">
        <f>IF(H$37+$AE$6&lt;$B7+1,H$37+$AE$6,"")</f>
        <v>271</v>
      </c>
      <c r="I42" t="str">
        <f>MID($D7,6,1)</f>
        <v>Y</v>
      </c>
      <c r="J42" t="str">
        <f>MID($F7,6,1)</f>
        <v>L</v>
      </c>
    </row>
    <row r="43" spans="8:10">
      <c r="H43">
        <f>IF(H$37+$AE$7&lt;$B7+1,H$37+$AE$7,"")</f>
        <v>272</v>
      </c>
      <c r="I43" t="str">
        <f>MID($D7,7,1)</f>
        <v>K</v>
      </c>
      <c r="J43" t="str">
        <f>MID($D7,7,1)</f>
        <v>K</v>
      </c>
    </row>
    <row r="44" spans="8:10">
      <c r="H44">
        <f>IF($A8+1=$A8,$B8,$A8)</f>
        <v>290</v>
      </c>
      <c r="I44" t="str">
        <f>MID($D8,1,1)</f>
        <v>T</v>
      </c>
      <c r="J44" t="str">
        <f>MID($F8,1,1)</f>
        <v>Y</v>
      </c>
    </row>
    <row r="45" spans="8:10">
      <c r="H45">
        <f>IF(H$44+$AE$2&lt;$B8+1,H$44+$AE$2,"")</f>
        <v>291</v>
      </c>
      <c r="I45" t="str">
        <f>MID($D8,2,1)</f>
        <v>H</v>
      </c>
      <c r="J45" t="str">
        <f>MID($F8,2,1)</f>
        <v>T</v>
      </c>
    </row>
    <row r="46" spans="8:10">
      <c r="H46">
        <f>IF(H$44+$AE$3&lt;$B8+1,H$44+$AE$3,"")</f>
        <v>292</v>
      </c>
      <c r="I46" t="str">
        <f>MID($D8,3,1)</f>
        <v>L</v>
      </c>
      <c r="J46" t="str">
        <f>MID($F8,3,1)</f>
        <v>L</v>
      </c>
    </row>
    <row r="47" spans="8:10">
      <c r="H47">
        <f>IF(H$44+$AE$4&lt;$B8+1,H$44+$AE$4,"")</f>
        <v>293</v>
      </c>
      <c r="I47" t="str">
        <f>MID($D8,4,1)</f>
        <v>G</v>
      </c>
      <c r="J47" t="str">
        <f>MID($F8,4,1)</f>
        <v>M</v>
      </c>
    </row>
    <row r="48" spans="8:10">
      <c r="H48">
        <f>IF(H$44+$AE$5&lt;$B8+1,H$44+$AE$5,"")</f>
        <v>294</v>
      </c>
      <c r="I48" t="str">
        <f>MID($D8,5,1)</f>
        <v>L</v>
      </c>
      <c r="J48" t="str">
        <f>MID($F8,5,1)</f>
        <v>L</v>
      </c>
    </row>
    <row r="49" spans="8:10">
      <c r="H49">
        <f>IF(H$44+$AE$6&lt;$B8+1,H$44+$AE$6,"")</f>
        <v>295</v>
      </c>
      <c r="I49" t="str">
        <f>MID($D8,6,1)</f>
        <v>S</v>
      </c>
      <c r="J49" t="str">
        <f>MID($F8,6,1)</f>
        <v>M</v>
      </c>
    </row>
    <row r="50" spans="8:10">
      <c r="H50">
        <f>IF(H$44+$AE$7&lt;$B8+1,H$44+$AE$7,"")</f>
        <v>296</v>
      </c>
      <c r="I50" t="str">
        <f>MID($D8,7,1)</f>
        <v>E</v>
      </c>
      <c r="J50" t="str">
        <f>MID($D8,7,1)</f>
        <v>E</v>
      </c>
    </row>
    <row r="51" spans="8:10">
      <c r="H51">
        <f>IF($A9+1=$A9,$B9,$A9)</f>
        <v>314</v>
      </c>
      <c r="I51" t="str">
        <f>MID($D9,1,1)</f>
        <v>E</v>
      </c>
      <c r="J51" t="str">
        <f>MID($F9,1,1)</f>
        <v>Q</v>
      </c>
    </row>
    <row r="52" spans="8:10">
      <c r="H52">
        <f>IF(H$51+$AE$2&lt;$B9+1,H$51+$AE$2,"")</f>
        <v>315</v>
      </c>
      <c r="I52" t="str">
        <f>MID($D9,2,1)</f>
        <v>V</v>
      </c>
      <c r="J52" t="str">
        <f>MID($F9,2,1)</f>
        <v>I</v>
      </c>
    </row>
    <row r="53" spans="8:10">
      <c r="H53">
        <f>IF(H$51+$AE$3&lt;$B9+1,H$51+$AE$3,"")</f>
        <v>316</v>
      </c>
      <c r="I53" t="str">
        <f>MID($D9,3,1)</f>
        <v>L</v>
      </c>
      <c r="J53" t="str">
        <f>MID($F9,3,1)</f>
        <v>L</v>
      </c>
    </row>
    <row r="54" spans="8:10">
      <c r="H54">
        <f>IF(H$51+$AE$4&lt;$B9+1,H$51+$AE$4,"")</f>
        <v>317</v>
      </c>
      <c r="I54" t="str">
        <f>MID($D9,4,1)</f>
        <v>T</v>
      </c>
      <c r="J54" t="str">
        <f>MID($F9,4,1)</f>
        <v>W</v>
      </c>
    </row>
    <row r="55" spans="8:10">
      <c r="H55">
        <f>IF(H$51+$AE$5&lt;$B9+1,H$51+$AE$5,"")</f>
        <v>318</v>
      </c>
      <c r="I55" t="str">
        <f>MID($D9,5,1)</f>
        <v>L</v>
      </c>
      <c r="J55" t="str">
        <f>MID($F9,5,1)</f>
        <v>L</v>
      </c>
    </row>
    <row r="56" spans="8:10">
      <c r="H56">
        <f>IF(H$51+$AE$6&lt;$B9+1,H$51+$AE$6,"")</f>
        <v>319</v>
      </c>
      <c r="I56" t="str">
        <f>MID($D9,6,1)</f>
        <v>H</v>
      </c>
      <c r="J56" t="str">
        <f>MID($F9,6,1)</f>
        <v>A</v>
      </c>
    </row>
    <row r="57" spans="8:10">
      <c r="H57">
        <f>IF(H$51+$AE$7&lt;$B9+1,H$51+$AE$7,"")</f>
        <v>320</v>
      </c>
      <c r="I57" t="str">
        <f>MID($D9,7,1)</f>
        <v>S</v>
      </c>
      <c r="J57" t="str">
        <f>MID($D9,7,1)</f>
        <v>S</v>
      </c>
    </row>
    <row r="58" spans="8:10">
      <c r="H58">
        <f>IF($A10+1=$A10,$B10,$A10)</f>
        <v>341</v>
      </c>
      <c r="I58" t="str">
        <f>MID($D10,1,1)</f>
        <v>T</v>
      </c>
      <c r="J58" t="str">
        <f>MID($F10,1,1)</f>
        <v>V</v>
      </c>
    </row>
    <row r="59" spans="8:10">
      <c r="H59">
        <f>IF(H$58+$AE$2&lt;$B10+1,H$58+$AE$2,"")</f>
        <v>342</v>
      </c>
      <c r="I59" t="str">
        <f>MID($D10,2,1)</f>
        <v>V</v>
      </c>
      <c r="J59" t="str">
        <f>MID($F10,2,1)</f>
        <v>V</v>
      </c>
    </row>
    <row r="60" spans="8:10">
      <c r="H60">
        <f>IF(H$58+$AE$3&lt;$B10+1,H$58+$AE$3,"")</f>
        <v>343</v>
      </c>
      <c r="I60" t="str">
        <f>MID($D10,3,1)</f>
        <v>G</v>
      </c>
      <c r="J60" t="str">
        <f>MID($F10,3,1)</f>
        <v>A</v>
      </c>
    </row>
    <row r="61" spans="8:10">
      <c r="H61" t="str">
        <f>IF(H$58+$AE$4&lt;$B10+1,H$58+$AE$4,"")</f>
        <v/>
      </c>
      <c r="I61" t="str">
        <f>MID($D10,4,1)</f>
        <v/>
      </c>
      <c r="J61" t="str">
        <f>MID($F10,4,1)</f>
        <v/>
      </c>
    </row>
    <row r="62" spans="8:10">
      <c r="H62" t="str">
        <f>IF(H$58+$AE$5&lt;$B10+1,H$58+$AE$5,"")</f>
        <v/>
      </c>
      <c r="I62" t="str">
        <f>MID($D10,5,1)</f>
        <v/>
      </c>
      <c r="J62" t="str">
        <f>MID($F10,5,1)</f>
        <v/>
      </c>
    </row>
    <row r="63" spans="8:10">
      <c r="H63" t="str">
        <f>IF(H$58+$AE$6&lt;$B10+1,H$58+$AE$6,"")</f>
        <v/>
      </c>
      <c r="I63" t="str">
        <f>MID($D10,6,1)</f>
        <v/>
      </c>
      <c r="J63" t="str">
        <f>MID($F10,6,1)</f>
        <v/>
      </c>
    </row>
    <row r="64" spans="8:10">
      <c r="H64" t="str">
        <f>IF(H$58+$AE$7&lt;$B10+1,H$58+$AE$7,"")</f>
        <v/>
      </c>
      <c r="I64" t="str">
        <f>MID($D10,7,1)</f>
        <v/>
      </c>
      <c r="J64" t="str">
        <f>MID($F10,7,1)</f>
        <v/>
      </c>
    </row>
    <row r="65" spans="8:10">
      <c r="H65">
        <f>IF($A11+1=$A11,$B11,$A11)</f>
        <v>363</v>
      </c>
      <c r="I65" t="str">
        <f>MID($D11,1,1)</f>
        <v>N</v>
      </c>
      <c r="J65" t="str">
        <f>MID($F11,1,1)</f>
        <v>V</v>
      </c>
    </row>
    <row r="66" spans="8:10">
      <c r="H66">
        <f>IF(H$65+$AE$2&lt;$B11+1,H$65+$AE$2,"")</f>
        <v>364</v>
      </c>
      <c r="I66" t="str">
        <f>MID($D11,2,1)</f>
        <v>L</v>
      </c>
      <c r="J66" t="str">
        <f>MID($F11,2,1)</f>
        <v>L</v>
      </c>
    </row>
    <row r="67" spans="8:10">
      <c r="H67">
        <f>IF(H$65+$AE$3&lt;$B11+1,H$65+$AE$3,"")</f>
        <v>365</v>
      </c>
      <c r="I67" t="str">
        <f>MID($D11,3,1)</f>
        <v>S</v>
      </c>
      <c r="J67" t="str">
        <f>MID($F11,3,1)</f>
        <v>E</v>
      </c>
    </row>
    <row r="68" spans="8:10">
      <c r="H68">
        <f>IF(H$65+$AE$4&lt;$B11+1,H$65+$AE$4,"")</f>
        <v>366</v>
      </c>
      <c r="I68" t="str">
        <f>MID($D11,4,1)</f>
        <v>A</v>
      </c>
      <c r="J68" t="str">
        <f>MID($F11,4,1)</f>
        <v>A</v>
      </c>
    </row>
    <row r="69" spans="8:10">
      <c r="H69">
        <f>IF(H$65+$AE$5&lt;$B11+1,H$65+$AE$5,"")</f>
        <v>367</v>
      </c>
      <c r="I69" t="str">
        <f>MID($D11,5,1)</f>
        <v>H</v>
      </c>
      <c r="J69" t="str">
        <f>MID($F11,5,1)</f>
        <v>A</v>
      </c>
    </row>
    <row r="70" spans="8:10">
      <c r="H70">
        <f>IF(H$65+$AE$6&lt;$B11+1,H$65+$AE$6,"")</f>
        <v>368</v>
      </c>
      <c r="I70" t="str">
        <f>MID($D11,6,1)</f>
        <v>D</v>
      </c>
      <c r="J70" t="str">
        <f>MID($F11,6,1)</f>
        <v>F</v>
      </c>
    </row>
    <row r="71" spans="8:10">
      <c r="H71" t="str">
        <f>IF(H$65+$AE$7&lt;$B11+1,H$65+$AE$7,"")</f>
        <v/>
      </c>
      <c r="I71" t="str">
        <f>MID($D11,7,1)</f>
        <v/>
      </c>
      <c r="J71" t="str">
        <f>MID($D11,7,1)</f>
        <v/>
      </c>
    </row>
    <row r="72" spans="8:10">
      <c r="H72">
        <f>IF($A12+1=$A12,$B12,$A12)</f>
        <v>387</v>
      </c>
      <c r="I72" t="str">
        <f>MID($D12,1,1)</f>
        <v>L</v>
      </c>
      <c r="J72" t="str">
        <f>MID($F12,1,1)</f>
        <v>I</v>
      </c>
    </row>
    <row r="73" spans="8:10">
      <c r="H73" t="str">
        <f>IF(H$72+$AE$2&lt;$B12+1,H$72+$AE$2,"")</f>
        <v/>
      </c>
      <c r="I73" t="str">
        <f>MID($D12,2,1)</f>
        <v/>
      </c>
      <c r="J73" t="str">
        <f>MID($F12,2,1)</f>
        <v/>
      </c>
    </row>
    <row r="74" spans="8:10">
      <c r="H74" t="str">
        <f>IF(H$72+$AE$3&lt;$B12+1,H$72+$AE$3,"")</f>
        <v/>
      </c>
      <c r="I74" t="str">
        <f>MID($D12,3,1)</f>
        <v/>
      </c>
      <c r="J74" t="str">
        <f>MID($F12,3,1)</f>
        <v/>
      </c>
    </row>
    <row r="75" spans="8:10">
      <c r="H75" t="str">
        <f>IF(H$72+$AE$4&lt;$B12+1,H$72+$AE$4,"")</f>
        <v/>
      </c>
      <c r="I75" t="str">
        <f>MID($D12,4,1)</f>
        <v/>
      </c>
      <c r="J75" t="str">
        <f>MID($F12,4,1)</f>
        <v/>
      </c>
    </row>
    <row r="76" spans="8:10">
      <c r="H76" t="str">
        <f>IF(H$72+$AE$5&lt;$B12+1,H$72+$AE$5,"")</f>
        <v/>
      </c>
      <c r="I76" t="str">
        <f>MID($D12,5,1)</f>
        <v/>
      </c>
      <c r="J76" t="str">
        <f>MID($F12,5,1)</f>
        <v/>
      </c>
    </row>
    <row r="77" spans="8:10">
      <c r="H77" t="str">
        <f>IF(H$72+$AE$6&lt;$B12+1,H$72+$AE$6,"")</f>
        <v/>
      </c>
      <c r="I77" t="str">
        <f>MID($D12,6,1)</f>
        <v/>
      </c>
      <c r="J77" t="str">
        <f>MID($F12,6,1)</f>
        <v/>
      </c>
    </row>
    <row r="78" spans="8:10">
      <c r="H78" t="str">
        <f>IF(H$72+$AE$7&lt;$B12+1,H$72+$AE$7,"")</f>
        <v/>
      </c>
      <c r="I78" t="str">
        <f>MID($D12,7,1)</f>
        <v/>
      </c>
      <c r="J78" t="str">
        <f>MID($D12,7,1)</f>
        <v/>
      </c>
    </row>
    <row r="79" spans="8:10">
      <c r="H79">
        <f>IF($A13+1=$A13,$B13,$A13)</f>
        <v>410</v>
      </c>
      <c r="I79" t="str">
        <f>MID($D13,1,1)</f>
        <v>F</v>
      </c>
      <c r="J79" t="str">
        <f>MID($F13,1,1)</f>
        <v>I</v>
      </c>
    </row>
    <row r="80" spans="8:10">
      <c r="H80" t="str">
        <f>IF(H$79+$AE$2&lt;$B13+1,H$79+$AE$2,"")</f>
        <v/>
      </c>
      <c r="I80" t="str">
        <f>MID($D13,2,1)</f>
        <v/>
      </c>
      <c r="J80" t="str">
        <f>MID($F13,2,1)</f>
        <v/>
      </c>
    </row>
    <row r="81" spans="8:10">
      <c r="H81" t="str">
        <f>IF(H$79+$AE$3&lt;$B13+1,H$79+$AE$3,"")</f>
        <v/>
      </c>
      <c r="I81" t="str">
        <f>MID($D13,3,1)</f>
        <v/>
      </c>
      <c r="J81" t="str">
        <f>MID($F13,3,1)</f>
        <v/>
      </c>
    </row>
    <row r="82" spans="8:10">
      <c r="H82" t="str">
        <f>IF(H$79+$AE$4&lt;$B13+1,H$79+$AE$4,"")</f>
        <v/>
      </c>
      <c r="I82" t="str">
        <f>MID($D13,4,1)</f>
        <v/>
      </c>
      <c r="J82" t="str">
        <f>MID($F13,4,1)</f>
        <v/>
      </c>
    </row>
    <row r="83" spans="8:10">
      <c r="H83" t="str">
        <f>IF(H$79+$AE$5&lt;$B13+1,H$79+$AE$5,"")</f>
        <v/>
      </c>
      <c r="I83" t="str">
        <f>MID($D13,5,1)</f>
        <v/>
      </c>
      <c r="J83" t="str">
        <f>MID($F13,5,1)</f>
        <v/>
      </c>
    </row>
    <row r="84" spans="8:10">
      <c r="H84" t="str">
        <f>IF(H$79+$AE$6&lt;$B13+1,H$79+$AE$6,"")</f>
        <v/>
      </c>
      <c r="I84" t="str">
        <f>MID($D13,6,1)</f>
        <v/>
      </c>
      <c r="J84" t="str">
        <f>MID($F13,6,1)</f>
        <v/>
      </c>
    </row>
    <row r="85" spans="8:10">
      <c r="H85" t="str">
        <f>IF(H$79+$AE$7&lt;$B13+1,H$79+$AE$7,"")</f>
        <v/>
      </c>
      <c r="I85" t="str">
        <f>MID($D13,7,1)</f>
        <v/>
      </c>
      <c r="J85" t="str">
        <f>MID($D13,7,1)</f>
        <v/>
      </c>
    </row>
    <row r="86" spans="8:10">
      <c r="H86">
        <f>IF($A14+1=$A14,$B14,$A14)</f>
        <v>434</v>
      </c>
      <c r="I86" t="str">
        <f>MID($D14,1,1)</f>
        <v>T</v>
      </c>
      <c r="J86" t="str">
        <f>MID($F14,1,1)</f>
        <v>I</v>
      </c>
    </row>
    <row r="87" spans="8:10">
      <c r="H87">
        <f>IF(H$86+$AE$2&lt;$B14+1,H$86+$AE$2,"")</f>
        <v>435</v>
      </c>
      <c r="I87" t="str">
        <f>MID($D14,2,1)</f>
        <v>L</v>
      </c>
      <c r="J87" t="str">
        <f>MID($F14,2,1)</f>
        <v>L</v>
      </c>
    </row>
    <row r="88" spans="8:10">
      <c r="H88">
        <f>IF(H$86+$AE$3&lt;$B14+1,H$86+$AE$3,"")</f>
        <v>436</v>
      </c>
      <c r="I88" t="str">
        <f>MID($D14,3,1)</f>
        <v>S</v>
      </c>
      <c r="J88" t="str">
        <f>MID($F14,3,1)</f>
        <v>N</v>
      </c>
    </row>
    <row r="89" spans="8:10">
      <c r="H89" t="str">
        <f>IF(H$86+$AE$4&lt;$B14+1,H$86+$AE$4,"")</f>
        <v/>
      </c>
      <c r="I89" t="str">
        <f>MID($D14,4,1)</f>
        <v/>
      </c>
      <c r="J89" t="str">
        <f>MID($F14,4,1)</f>
        <v/>
      </c>
    </row>
    <row r="90" spans="8:10">
      <c r="H90" t="str">
        <f>IF(H$86+$AE$5&lt;$B14+1,H$86+$AE$5,"")</f>
        <v/>
      </c>
      <c r="I90" t="str">
        <f>MID($D14,5,1)</f>
        <v/>
      </c>
      <c r="J90" t="str">
        <f>MID($F14,5,1)</f>
        <v/>
      </c>
    </row>
    <row r="91" spans="8:10">
      <c r="H91" t="str">
        <f>IF(H$86+$AE$6&lt;$B14+1,H$86+$AE$6,"")</f>
        <v/>
      </c>
      <c r="I91" t="str">
        <f>MID($D14,6,1)</f>
        <v/>
      </c>
      <c r="J91" t="str">
        <f>MID($F14,6,1)</f>
        <v/>
      </c>
    </row>
    <row r="92" spans="8:10">
      <c r="H92" t="str">
        <f>IF(H$86+$AE$7&lt;$B14+1,H$86+$AE$7,"")</f>
        <v/>
      </c>
      <c r="I92" t="str">
        <f>MID($D14,7,1)</f>
        <v/>
      </c>
      <c r="J92" t="str">
        <f>MID($D14,7,1)</f>
        <v/>
      </c>
    </row>
    <row r="93" spans="8:10">
      <c r="H93">
        <f>IF($A15+1=$A15,$B15,$A15)</f>
        <v>460</v>
      </c>
      <c r="I93" t="str">
        <f>MID($D15,1,1)</f>
        <v>Q</v>
      </c>
      <c r="J93" t="str">
        <f>MID($F15,1,1)</f>
        <v>M</v>
      </c>
    </row>
    <row r="94" spans="8:10">
      <c r="H94" t="str">
        <f>IF(H$93+$AE$2&lt;$B15+1,H$93+$AE$2,"")</f>
        <v/>
      </c>
      <c r="I94" t="str">
        <f>MID($D15,2,1)</f>
        <v/>
      </c>
      <c r="J94" t="str">
        <f>MID($F15,2,1)</f>
        <v/>
      </c>
    </row>
    <row r="95" spans="8:10">
      <c r="H95" t="str">
        <f>IF(H$93+$AE$3&lt;$B15+1,H$93+$AE$3,"")</f>
        <v/>
      </c>
      <c r="I95" t="str">
        <f>MID($D15,3,1)</f>
        <v/>
      </c>
      <c r="J95" t="str">
        <f>MID($F15,3,1)</f>
        <v/>
      </c>
    </row>
    <row r="96" spans="8:10">
      <c r="H96" t="str">
        <f>IF(H$93+$AE$4&lt;$B15+1,H$93+$AE$4,"")</f>
        <v/>
      </c>
      <c r="I96" t="str">
        <f>MID($D15,4,1)</f>
        <v/>
      </c>
      <c r="J96" t="str">
        <f>MID($F15,4,1)</f>
        <v/>
      </c>
    </row>
    <row r="97" spans="8:16">
      <c r="H97" t="str">
        <f>IF(H$93+$AE$5&lt;$B15+1,H$93+$AE$5,"")</f>
        <v/>
      </c>
      <c r="I97" t="str">
        <f>MID($D15,5,1)</f>
        <v/>
      </c>
      <c r="J97" t="str">
        <f>MID($F15,5,1)</f>
        <v/>
      </c>
    </row>
    <row r="98" spans="8:16">
      <c r="H98" t="str">
        <f>IF(H$93+$AE$6&lt;$B15+1,H$93+$AE$6,"")</f>
        <v/>
      </c>
      <c r="I98" t="str">
        <f>MID($D15,6,1)</f>
        <v/>
      </c>
      <c r="J98" t="str">
        <f>MID($F15,6,1)</f>
        <v/>
      </c>
    </row>
    <row r="99" spans="8:16">
      <c r="H99" t="str">
        <f>IF(H$93+$AE$7&lt;$B15+1,H$93+$AE$7,"")</f>
        <v/>
      </c>
      <c r="I99" t="str">
        <f>MID($D15,7,1)</f>
        <v/>
      </c>
      <c r="J99" t="str">
        <f>MID($D15,7,1)</f>
        <v/>
      </c>
    </row>
    <row r="100" spans="8:16">
      <c r="H100">
        <f>IF($A16+1=$A16,$B16,$A16)</f>
        <v>0</v>
      </c>
      <c r="I100" t="str">
        <f>MID($D16,1,1)</f>
        <v/>
      </c>
      <c r="J100" t="str">
        <f>MID($F16,1,1)</f>
        <v/>
      </c>
    </row>
    <row r="101" spans="8:16">
      <c r="H101" t="str">
        <f>IF(H$100+$AE$2&lt;$B16+1,H$100+$AE$2,"")</f>
        <v/>
      </c>
      <c r="I101" t="str">
        <f>MID($D16,2,1)</f>
        <v/>
      </c>
      <c r="J101" t="str">
        <f>MID($F16,2,1)</f>
        <v/>
      </c>
    </row>
    <row r="102" spans="8:16">
      <c r="H102" t="str">
        <f>IF(H$100+$AE$3&lt;$B16+1,H$100+$AE$3,"")</f>
        <v/>
      </c>
      <c r="I102" t="str">
        <f>MID($D16,3,1)</f>
        <v/>
      </c>
      <c r="J102" t="str">
        <f>MID($F16,3,1)</f>
        <v/>
      </c>
    </row>
    <row r="103" spans="8:16">
      <c r="H103" t="str">
        <f>IF(H$100+$AE$4&lt;$B16+1,H$100+$AE$4,"")</f>
        <v/>
      </c>
      <c r="I103" t="str">
        <f>MID($D16,4,1)</f>
        <v/>
      </c>
      <c r="J103" t="str">
        <f>MID($F16,4,1)</f>
        <v/>
      </c>
    </row>
    <row r="104" spans="8:16">
      <c r="H104" t="str">
        <f>IF(H$100+$AE$5&lt;$B16+1,H$100+$AE$5,"")</f>
        <v/>
      </c>
      <c r="I104" t="str">
        <f>MID($D16,5,1)</f>
        <v/>
      </c>
      <c r="J104" t="str">
        <f>MID($F16,5,1)</f>
        <v/>
      </c>
    </row>
    <row r="105" spans="8:16">
      <c r="H105" t="str">
        <f>IF(H$100+$AE$6&lt;$B16+1,H$100+$AE$6,"")</f>
        <v/>
      </c>
      <c r="I105" t="str">
        <f>MID($D16,6,1)</f>
        <v/>
      </c>
      <c r="J105" t="str">
        <f>MID($F16,6,1)</f>
        <v/>
      </c>
    </row>
    <row r="106" spans="8:16">
      <c r="H106" t="str">
        <f>IF(H$100+$AE$7&lt;$B16+1,H$100+$AE$7,"")</f>
        <v/>
      </c>
      <c r="I106" t="str">
        <f>MID($D16,7,1)</f>
        <v/>
      </c>
      <c r="J106" t="str">
        <f>MID($D16,7,1)</f>
        <v/>
      </c>
    </row>
    <row r="107" spans="8:16">
      <c r="H107">
        <f>IF($A17+1=$A17,$B17,$A17)</f>
        <v>0</v>
      </c>
      <c r="I107" t="str">
        <f>MID($D17,1,1)</f>
        <v/>
      </c>
      <c r="J107" t="str">
        <f>MID($F17,1,1)</f>
        <v/>
      </c>
    </row>
    <row r="108" spans="8:16">
      <c r="H108" t="str">
        <f>IF(H$107+$AE$2&lt;$B17+1,H$107+$AE$2,"")</f>
        <v/>
      </c>
      <c r="I108" t="str">
        <f>MID($D17,2,1)</f>
        <v/>
      </c>
      <c r="J108" t="str">
        <f>MID($F17,2,1)</f>
        <v/>
      </c>
    </row>
    <row r="109" spans="8:16">
      <c r="H109" t="str">
        <f>IF(H$107+$AE$3&lt;$B17+1,H$107+$AE$3,"")</f>
        <v/>
      </c>
      <c r="I109" t="str">
        <f>MID($D17,3,1)</f>
        <v/>
      </c>
      <c r="J109" t="str">
        <f>MID($F17,3,1)</f>
        <v/>
      </c>
      <c r="P109" t="str">
        <f>MID($D14,7,1)</f>
        <v/>
      </c>
    </row>
    <row r="110" spans="8:16">
      <c r="H110" t="str">
        <f>IF(H$107+$AE$4&lt;$B17+1,H$107+$AE$4,"")</f>
        <v/>
      </c>
      <c r="I110" t="str">
        <f>MID($D17,4,1)</f>
        <v/>
      </c>
      <c r="J110" t="str">
        <f>MID($F17,4,1)</f>
        <v/>
      </c>
    </row>
    <row r="111" spans="8:16">
      <c r="H111" t="str">
        <f>IF(H$107+$AE$5&lt;$B17+1,H$107+$AE$5,"")</f>
        <v/>
      </c>
      <c r="I111" t="str">
        <f>MID($D17,5,1)</f>
        <v/>
      </c>
      <c r="J111" t="str">
        <f>MID($F17,5,1)</f>
        <v/>
      </c>
    </row>
    <row r="112" spans="8:16">
      <c r="H112" t="str">
        <f>IF(H$107+$AE$6&lt;$B17+1,H$107+$AE$6,"")</f>
        <v/>
      </c>
      <c r="I112" t="str">
        <f>MID($D17,6,1)</f>
        <v/>
      </c>
      <c r="J112" t="str">
        <f>MID($F17,6,1)</f>
        <v/>
      </c>
    </row>
    <row r="113" spans="8:10">
      <c r="H113" t="str">
        <f>IF(H$107+$AE$7&lt;$B17+1,H$107+$AE$7,"")</f>
        <v/>
      </c>
      <c r="I113" t="str">
        <f>MID($D17,7,1)</f>
        <v/>
      </c>
      <c r="J113" t="str">
        <f>MID($D17,7,1)</f>
        <v/>
      </c>
    </row>
    <row r="114" spans="8:10">
      <c r="H114">
        <f>IF($A18+1=$A18,$B18,$A18)</f>
        <v>0</v>
      </c>
      <c r="I114" t="str">
        <f>MID($D18,1,1)</f>
        <v/>
      </c>
      <c r="J114" t="str">
        <f>MID($F18,1,1)</f>
        <v/>
      </c>
    </row>
    <row r="115" spans="8:10">
      <c r="H115" t="str">
        <f>IF(H$114+$AE$2&lt;$B18+1,H$114+$AE$2,"")</f>
        <v/>
      </c>
      <c r="I115" t="str">
        <f>MID($D18,2,1)</f>
        <v/>
      </c>
      <c r="J115" t="str">
        <f>MID($F18,2,1)</f>
        <v/>
      </c>
    </row>
    <row r="116" spans="8:10">
      <c r="H116" t="str">
        <f>IF(H$114+$AE$3&lt;$B18+1,H$114+$AE$3,"")</f>
        <v/>
      </c>
      <c r="I116" t="str">
        <f>MID($D18,3,1)</f>
        <v/>
      </c>
      <c r="J116" t="str">
        <f>MID($F18,3,1)</f>
        <v/>
      </c>
    </row>
    <row r="117" spans="8:10">
      <c r="H117" t="str">
        <f>IF(H$114+$AE$4&lt;$B18+1,H$114+$AE$4,"")</f>
        <v/>
      </c>
      <c r="I117" t="str">
        <f>MID($D18,4,1)</f>
        <v/>
      </c>
      <c r="J117" t="str">
        <f>MID($F18,4,1)</f>
        <v/>
      </c>
    </row>
    <row r="118" spans="8:10">
      <c r="H118" t="str">
        <f>IF(H$114+$AE$5&lt;$B18+1,H$114+$AE$5,"")</f>
        <v/>
      </c>
      <c r="I118" t="str">
        <f>MID($D18,5,1)</f>
        <v/>
      </c>
      <c r="J118" t="str">
        <f>MID($F18,5,1)</f>
        <v/>
      </c>
    </row>
    <row r="119" spans="8:10">
      <c r="H119" t="str">
        <f>IF(H$114+$AE$6&lt;$B18+1,H$114+$AE$6,"")</f>
        <v/>
      </c>
      <c r="I119" t="str">
        <f>MID($D18,6,1)</f>
        <v/>
      </c>
      <c r="J119" t="str">
        <f>MID($F18,6,1)</f>
        <v/>
      </c>
    </row>
    <row r="120" spans="8:10">
      <c r="H120" t="str">
        <f>IF(H$114+$AE$7&lt;$B18+1,H$114+$AE$7,"")</f>
        <v/>
      </c>
      <c r="I120" t="str">
        <f>MID($D18,7,1)</f>
        <v/>
      </c>
      <c r="J120" t="str">
        <f>MID($F18,7,1)</f>
        <v/>
      </c>
    </row>
    <row r="121" spans="8:10">
      <c r="H121">
        <f>IF($A19+1=$A19,$B19,$A19)</f>
        <v>0</v>
      </c>
      <c r="I121" t="str">
        <f>MID($D19,1,1)</f>
        <v/>
      </c>
      <c r="J121" t="str">
        <f>MID($F19,1,1)</f>
        <v/>
      </c>
    </row>
    <row r="122" spans="8:10">
      <c r="H122" t="str">
        <f>IF(H$121+$AE$2&lt;$B19+1,H$121+$AE$2,"")</f>
        <v/>
      </c>
      <c r="I122" t="str">
        <f>MID($D19,2,1)</f>
        <v/>
      </c>
      <c r="J122" t="str">
        <f>MID($F19,2,1)</f>
        <v/>
      </c>
    </row>
    <row r="123" spans="8:10">
      <c r="H123" t="str">
        <f>IF(H$121+$AE$3&lt;$B19+1,H$121+$AE$3,"")</f>
        <v/>
      </c>
      <c r="I123" t="str">
        <f>MID($D19,3,1)</f>
        <v/>
      </c>
      <c r="J123" t="str">
        <f>MID($F19,3,1)</f>
        <v/>
      </c>
    </row>
    <row r="124" spans="8:10">
      <c r="H124" t="str">
        <f>IF(H$121+$AE$4&lt;$B19+1,H$121+$AE$4,"")</f>
        <v/>
      </c>
      <c r="I124" t="str">
        <f>MID($D19,4,1)</f>
        <v/>
      </c>
      <c r="J124" t="str">
        <f>MID($F19,4,1)</f>
        <v/>
      </c>
    </row>
    <row r="125" spans="8:10">
      <c r="H125" t="str">
        <f>IF(H$121+$AE$5&lt;$B19+1,H$121+$AE$5,"")</f>
        <v/>
      </c>
      <c r="I125" t="str">
        <f>MID($D19,5,1)</f>
        <v/>
      </c>
      <c r="J125" t="str">
        <f>MID($F19,5,1)</f>
        <v/>
      </c>
    </row>
    <row r="126" spans="8:10">
      <c r="H126" t="str">
        <f>IF(H$121+$AE$6&lt;$B19+1,H$121+$AE$6,"")</f>
        <v/>
      </c>
      <c r="I126" t="str">
        <f>MID($D19,6,1)</f>
        <v/>
      </c>
      <c r="J126" t="str">
        <f>MID($F19,6,1)</f>
        <v/>
      </c>
    </row>
    <row r="127" spans="8:10">
      <c r="H127" t="str">
        <f>IF(H$121+$AE$7&lt;$B19+1,H$121+$AE$7,"")</f>
        <v/>
      </c>
      <c r="I127" t="str">
        <f>MID($D19,7,1)</f>
        <v/>
      </c>
      <c r="J127" t="str">
        <f>MID($D19,7,1)</f>
        <v/>
      </c>
    </row>
    <row r="128" spans="8:10">
      <c r="H128">
        <f>IF($A20+1=$A20,$B20,$A20)</f>
        <v>0</v>
      </c>
      <c r="I128" t="str">
        <f>MID($D20,1,1)</f>
        <v/>
      </c>
      <c r="J128" t="str">
        <f>MID($F20,1,1)</f>
        <v/>
      </c>
    </row>
    <row r="129" spans="8:10">
      <c r="H129" t="str">
        <f>IF(H$128+$AE$2&lt;$B20+1,H$128+$AE$2,"")</f>
        <v/>
      </c>
      <c r="I129" t="str">
        <f>MID($D20,2,1)</f>
        <v/>
      </c>
      <c r="J129" t="str">
        <f>MID($F20,2,1)</f>
        <v/>
      </c>
    </row>
    <row r="130" spans="8:10">
      <c r="H130" t="str">
        <f>IF(H$128+$AE$3&lt;$B20+1,H$128+$AE$3,"")</f>
        <v/>
      </c>
      <c r="I130" t="str">
        <f>MID($D20,3,1)</f>
        <v/>
      </c>
      <c r="J130" t="str">
        <f>MID($F20,3,1)</f>
        <v/>
      </c>
    </row>
    <row r="131" spans="8:10">
      <c r="H131" t="str">
        <f>IF(H$128+$AE$4&lt;$B20+1,H$128+$AE$4,"")</f>
        <v/>
      </c>
      <c r="I131" t="str">
        <f>MID($D20,4,1)</f>
        <v/>
      </c>
      <c r="J131" t="str">
        <f>MID($F20,4,1)</f>
        <v/>
      </c>
    </row>
    <row r="132" spans="8:10">
      <c r="H132" t="str">
        <f>IF(H$128+$AE$5&lt;$B20+1,H$128+$AE$5,"")</f>
        <v/>
      </c>
      <c r="I132" t="str">
        <f>MID($D20,5,1)</f>
        <v/>
      </c>
      <c r="J132" t="str">
        <f>MID($F20,5,1)</f>
        <v/>
      </c>
    </row>
    <row r="133" spans="8:10">
      <c r="H133" t="str">
        <f>IF(H$128+$AE$6&lt;$B20+1,H$128+$AE$6,"")</f>
        <v/>
      </c>
      <c r="I133" t="str">
        <f>MID($D20,6,1)</f>
        <v/>
      </c>
      <c r="J133" t="str">
        <f>MID($F20,6,1)</f>
        <v/>
      </c>
    </row>
    <row r="134" spans="8:10">
      <c r="H134" t="str">
        <f>IF(H$128+$AE$7&lt;$B20+1,H$128+$AE$7,"")</f>
        <v/>
      </c>
      <c r="I134" t="str">
        <f>MID($D20,7,1)</f>
        <v/>
      </c>
      <c r="J134" t="str">
        <f>MID($D20,7,1)</f>
        <v/>
      </c>
    </row>
    <row r="135" spans="8:10">
      <c r="H135">
        <f>IF($A21+1=$A21,$B21,$A21)</f>
        <v>0</v>
      </c>
      <c r="I135" t="str">
        <f>MID($D21,1,1)</f>
        <v/>
      </c>
      <c r="J135" t="str">
        <f>MID($F21,1,1)</f>
        <v/>
      </c>
    </row>
    <row r="136" spans="8:10">
      <c r="H136" t="str">
        <f>IF(H$135+$AE$2&lt;$B21+1,H$135+$AE$2,"")</f>
        <v/>
      </c>
      <c r="I136" t="str">
        <f>MID($D21,2,1)</f>
        <v/>
      </c>
      <c r="J136" t="str">
        <f>MID($F21,2,1)</f>
        <v/>
      </c>
    </row>
    <row r="137" spans="8:10">
      <c r="H137" t="str">
        <f>IF(H$135+$AE$3&lt;$B21+1,H$135+$AE$3,"")</f>
        <v/>
      </c>
      <c r="I137" t="str">
        <f>MID($D21,3,1)</f>
        <v/>
      </c>
      <c r="J137" t="str">
        <f>MID($F21,3,1)</f>
        <v/>
      </c>
    </row>
    <row r="138" spans="8:10">
      <c r="H138" t="str">
        <f>IF(H$135+$AE$4&lt;$B21+1,H$135+$AE$4,"")</f>
        <v/>
      </c>
      <c r="I138" t="str">
        <f>MID($D21,4,1)</f>
        <v/>
      </c>
      <c r="J138" t="str">
        <f>MID($F21,4,1)</f>
        <v/>
      </c>
    </row>
    <row r="139" spans="8:10">
      <c r="H139" t="str">
        <f>IF(H$135+$AE$5&lt;$B21+1,H$135+$AE$5,"")</f>
        <v/>
      </c>
      <c r="I139" t="str">
        <f>MID($D21,5,1)</f>
        <v/>
      </c>
      <c r="J139" t="str">
        <f>MID($F21,5,1)</f>
        <v/>
      </c>
    </row>
    <row r="140" spans="8:10">
      <c r="H140" t="str">
        <f>IF(H$135+$AE$6&lt;$B21+1,H$135+$AE$6,"")</f>
        <v/>
      </c>
      <c r="I140" t="str">
        <f>MID($D21,6,1)</f>
        <v/>
      </c>
      <c r="J140" t="str">
        <f>MID($F21,6,1)</f>
        <v/>
      </c>
    </row>
    <row r="141" spans="8:10">
      <c r="H141" t="str">
        <f>IF(H$135+$AE$7&lt;$B21+1,H$135+$AE$7,"")</f>
        <v/>
      </c>
      <c r="I141" t="str">
        <f>MID($D21,7,1)</f>
        <v/>
      </c>
      <c r="J141" t="str">
        <f>MID($D21,7,1)</f>
        <v/>
      </c>
    </row>
    <row r="142" spans="8:10">
      <c r="H142">
        <f>IF($A22+1=$A22,$B22,$A22)</f>
        <v>0</v>
      </c>
      <c r="I142" t="str">
        <f>MID($D22,1,1)</f>
        <v/>
      </c>
      <c r="J142" t="str">
        <f>MID($F22,1,1)</f>
        <v/>
      </c>
    </row>
    <row r="143" spans="8:10">
      <c r="H143" t="str">
        <f>IF(H$142+$AE$2&lt;$B22+1,H$142+$AE$2,"")</f>
        <v/>
      </c>
      <c r="I143" t="str">
        <f>MID($D22,2,1)</f>
        <v/>
      </c>
      <c r="J143" t="str">
        <f>MID($F22,2,1)</f>
        <v/>
      </c>
    </row>
    <row r="144" spans="8:10">
      <c r="H144" t="str">
        <f>IF(H$142+$AE$3&lt;$B22+1,H$142+$AE$3,"")</f>
        <v/>
      </c>
      <c r="I144" t="str">
        <f>MID($D22,3,1)</f>
        <v/>
      </c>
      <c r="J144" t="str">
        <f>MID($F22,3,1)</f>
        <v/>
      </c>
    </row>
    <row r="145" spans="8:10">
      <c r="H145" t="str">
        <f>IF(H$142+$AE$4&lt;$B22+1,H$142+$AE$4,"")</f>
        <v/>
      </c>
      <c r="I145" t="str">
        <f>MID($D22,4,1)</f>
        <v/>
      </c>
      <c r="J145" t="str">
        <f>MID($F22,4,1)</f>
        <v/>
      </c>
    </row>
    <row r="146" spans="8:10">
      <c r="H146" t="str">
        <f>IF(H$142+$AE$5&lt;$B22+1,H$142+$AE$5,"")</f>
        <v/>
      </c>
      <c r="I146" t="str">
        <f>MID($D22,5,1)</f>
        <v/>
      </c>
      <c r="J146" t="str">
        <f>MID($F22,5,1)</f>
        <v/>
      </c>
    </row>
    <row r="147" spans="8:10">
      <c r="H147" t="str">
        <f>IF(H$142+$AE$6&lt;$B22+1,H$142+$AE$6,"")</f>
        <v/>
      </c>
      <c r="I147" t="str">
        <f>MID($D22,6,1)</f>
        <v/>
      </c>
      <c r="J147" t="str">
        <f>MID($F22,6,1)</f>
        <v/>
      </c>
    </row>
    <row r="148" spans="8:10">
      <c r="H148" t="str">
        <f>IF(H$142+$AE$7&lt;$B22+1,H$142+$AE$7,"")</f>
        <v/>
      </c>
      <c r="I148" t="str">
        <f>MID($D22,7,1)</f>
        <v/>
      </c>
      <c r="J148" t="str">
        <f>MID($D22,7,1)</f>
        <v/>
      </c>
    </row>
    <row r="149" spans="8:10">
      <c r="H149">
        <f>IF($A23+1=$A23,$B23,$A23)</f>
        <v>0</v>
      </c>
      <c r="I149" t="str">
        <f>MID($D23,1,1)</f>
        <v/>
      </c>
      <c r="J149" t="str">
        <f>MID($F23,1,1)</f>
        <v/>
      </c>
    </row>
    <row r="150" spans="8:10">
      <c r="H150" t="str">
        <f>IF(H$149+$AE$2&lt;$B23+1,H$149+$AE$2,"")</f>
        <v/>
      </c>
      <c r="I150" t="str">
        <f>MID($D23,2,1)</f>
        <v/>
      </c>
      <c r="J150" t="str">
        <f>MID($F23,2,1)</f>
        <v/>
      </c>
    </row>
    <row r="151" spans="8:10">
      <c r="H151" t="str">
        <f>IF(H$149+$AE$3&lt;$B23+1,H$149+$AE$3,"")</f>
        <v/>
      </c>
      <c r="I151" t="str">
        <f>MID($D23,3,1)</f>
        <v/>
      </c>
      <c r="J151" t="str">
        <f>MID($F23,3,1)</f>
        <v/>
      </c>
    </row>
    <row r="152" spans="8:10">
      <c r="H152" t="str">
        <f>IF(H$149+$AE$4&lt;$B23+1,H$149+$AE$4,"")</f>
        <v/>
      </c>
      <c r="I152" t="str">
        <f>MID($D23,4,1)</f>
        <v/>
      </c>
      <c r="J152" t="str">
        <f>MID($F23,4,1)</f>
        <v/>
      </c>
    </row>
    <row r="153" spans="8:10">
      <c r="H153" t="str">
        <f>IF(H$149+$AE$5&lt;$B23+1,H$149+$AE$5,"")</f>
        <v/>
      </c>
      <c r="I153" t="str">
        <f>MID($D23,5,1)</f>
        <v/>
      </c>
      <c r="J153" t="str">
        <f>MID($F23,5,1)</f>
        <v/>
      </c>
    </row>
    <row r="154" spans="8:10">
      <c r="H154" t="str">
        <f>IF(H$149+$AE$6&lt;$B23+1,H$149+$AE$6,"")</f>
        <v/>
      </c>
      <c r="I154" t="str">
        <f>MID($D23,6,1)</f>
        <v/>
      </c>
      <c r="J154" t="str">
        <f>MID($F23,6,1)</f>
        <v/>
      </c>
    </row>
    <row r="155" spans="8:10">
      <c r="H155" t="str">
        <f>IF(H$149+$AE$7&lt;$B23+1,H$149+$AE$7,"")</f>
        <v/>
      </c>
      <c r="I155" t="str">
        <f>MID($D23,7,1)</f>
        <v/>
      </c>
      <c r="J155" t="str">
        <f>MID($D23,7,1)</f>
        <v/>
      </c>
    </row>
    <row r="156" spans="8:10">
      <c r="H156">
        <f>IF($A24+1=$A24,$B24,$A24)</f>
        <v>0</v>
      </c>
      <c r="I156" t="str">
        <f>MID($D24,1,1)</f>
        <v/>
      </c>
    </row>
    <row r="157" spans="8:10">
      <c r="H157" t="str">
        <f>IF(H$156+$AE$2&lt;$B24+1,H$156+$AE$2,"")</f>
        <v/>
      </c>
      <c r="J157" t="str">
        <f>MID($F24,2,1)</f>
        <v/>
      </c>
    </row>
    <row r="158" spans="8:10">
      <c r="H158" t="str">
        <f>IF(H$156+$AE$3&lt;$B24+1,H$156+$AE$3,"")</f>
        <v/>
      </c>
      <c r="I158" t="str">
        <f>MID($D24,3,1)</f>
        <v/>
      </c>
      <c r="J158" t="str">
        <f>MID($F24,3,1)</f>
        <v/>
      </c>
    </row>
    <row r="159" spans="8:10">
      <c r="H159" t="str">
        <f>IF(H$156+$AE$4&lt;$B24+1,H$156+$AE$4,"")</f>
        <v/>
      </c>
      <c r="I159" t="str">
        <f>MID($D24,4,1)</f>
        <v/>
      </c>
      <c r="J159" t="str">
        <f>MID($F24,4,1)</f>
        <v/>
      </c>
    </row>
    <row r="160" spans="8:10">
      <c r="H160" t="str">
        <f>IF(H$156+$AE$5&lt;$B24+1,H$156+$AE$5,"")</f>
        <v/>
      </c>
      <c r="I160" t="str">
        <f>MID($D24,5,1)</f>
        <v/>
      </c>
      <c r="J160" t="str">
        <f>MID($F24,5,1)</f>
        <v/>
      </c>
    </row>
    <row r="161" spans="8:10">
      <c r="H161" t="str">
        <f>IF(H$156+$AE$6&lt;$B24+1,H$156+$AE$6,"")</f>
        <v/>
      </c>
      <c r="I161" t="str">
        <f>MID($D24,6,1)</f>
        <v/>
      </c>
      <c r="J161" t="str">
        <f>MID($F24,6,1)</f>
        <v/>
      </c>
    </row>
    <row r="162" spans="8:10">
      <c r="H162" t="str">
        <f>IF(H$156+$AE$7&lt;$B24+1,H$156+$AE$7,"")</f>
        <v/>
      </c>
      <c r="J162" t="str">
        <f>MID($D24,7,1)</f>
        <v/>
      </c>
    </row>
    <row r="163" spans="8:10">
      <c r="H163">
        <f>IF($A25+1=$A25,$B25,$A25)</f>
        <v>0</v>
      </c>
      <c r="I163" t="str">
        <f>MID($D25,1,1)</f>
        <v/>
      </c>
    </row>
    <row r="164" spans="8:10">
      <c r="H164" t="str">
        <f>IF(H$163+$AE$2&lt;$B25+1,H$163+$AE$2,"")</f>
        <v/>
      </c>
    </row>
    <row r="165" spans="8:10">
      <c r="H165" t="str">
        <f>IF(H$163+$AE$3&lt;$B25+1,H$163+$AE$3,"")</f>
        <v/>
      </c>
      <c r="I165" t="str">
        <f>MID($D25,3,1)</f>
        <v/>
      </c>
    </row>
    <row r="166" spans="8:10">
      <c r="H166" t="str">
        <f>IF(H$163+$AE$4&lt;$B25+1,H$163+$AE$4,"")</f>
        <v/>
      </c>
      <c r="I166" t="str">
        <f>MID($D25,4,1)</f>
        <v/>
      </c>
      <c r="J166" t="str">
        <f>MID($F25,4,1)</f>
        <v/>
      </c>
    </row>
    <row r="167" spans="8:10">
      <c r="H167" t="str">
        <f>IF(H$163+$AE$5&lt;$B25+1,H$163+$AE$5,"")</f>
        <v/>
      </c>
      <c r="I167" t="str">
        <f>MID($D25,5,1)</f>
        <v/>
      </c>
    </row>
    <row r="168" spans="8:10">
      <c r="H168" t="str">
        <f>IF(H$163+$AE$6&lt;$B25+1,H$163+$AE$6,"")</f>
        <v/>
      </c>
      <c r="I168" t="str">
        <f>MID($D25,6,1)</f>
        <v/>
      </c>
      <c r="J168" t="str">
        <f>MID($F25,6,1)</f>
        <v/>
      </c>
    </row>
    <row r="169" spans="8:10">
      <c r="H169" t="str">
        <f>IF(H$163+$AE$7&lt;$B25+1,H$163+$AE$7,"")</f>
        <v/>
      </c>
      <c r="J169" t="str">
        <f>MID($D25,7,1)</f>
        <v/>
      </c>
    </row>
    <row r="173" spans="8:10">
      <c r="J173" t="str">
        <f>MID($F26,4,1)</f>
        <v/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A4CCC-15C5-40DF-AA1A-171DFCBD525C}">
  <sheetPr codeName="Tabelle4"/>
  <dimension ref="A1:F232"/>
  <sheetViews>
    <sheetView tabSelected="1" workbookViewId="0">
      <selection activeCell="H6" sqref="H6"/>
    </sheetView>
  </sheetViews>
  <sheetFormatPr baseColWidth="10" defaultRowHeight="14.4"/>
  <sheetData>
    <row r="1" spans="1:6">
      <c r="A1" t="s">
        <v>25</v>
      </c>
      <c r="B1" t="str">
        <f>[1]Tabelle1!H1</f>
        <v>Number</v>
      </c>
      <c r="C1" t="s">
        <v>27</v>
      </c>
      <c r="D1" t="str">
        <f>[1]Tabelle1!I1</f>
        <v>From</v>
      </c>
      <c r="E1" t="str">
        <f>[1]Tabelle1!J1</f>
        <v>To</v>
      </c>
      <c r="F1" t="b">
        <f>EXACT(D1,E1)</f>
        <v>0</v>
      </c>
    </row>
    <row r="2" spans="1:6">
      <c r="A2">
        <v>2</v>
      </c>
      <c r="B2">
        <f>Mutationen_einfügen!H2</f>
        <v>173</v>
      </c>
      <c r="C2">
        <f>IF(B2="","",B2+$A$2)</f>
        <v>175</v>
      </c>
      <c r="D2" t="str">
        <f>Mutationen_einfügen!I2</f>
        <v>V</v>
      </c>
      <c r="E2" t="str">
        <f>Mutationen_einfügen!J2</f>
        <v>T</v>
      </c>
      <c r="F2" t="b">
        <f t="shared" ref="F2:F65" si="0">EXACT(D2,E2)</f>
        <v>0</v>
      </c>
    </row>
    <row r="3" spans="1:6">
      <c r="B3" t="str">
        <f>Mutationen_einfügen!H3</f>
        <v/>
      </c>
      <c r="C3" t="str">
        <f t="shared" ref="C3:C66" si="1">IF(B3="","",B3+$A$2)</f>
        <v/>
      </c>
      <c r="D3" t="str">
        <f>Mutationen_einfügen!I3</f>
        <v/>
      </c>
      <c r="E3" t="str">
        <f>Mutationen_einfügen!J3</f>
        <v/>
      </c>
      <c r="F3" t="b">
        <f t="shared" si="0"/>
        <v>1</v>
      </c>
    </row>
    <row r="4" spans="1:6">
      <c r="B4" t="str">
        <f>Mutationen_einfügen!H4</f>
        <v/>
      </c>
      <c r="C4" t="str">
        <f t="shared" si="1"/>
        <v/>
      </c>
      <c r="D4" t="str">
        <f>Mutationen_einfügen!I4</f>
        <v/>
      </c>
      <c r="E4" t="str">
        <f>Mutationen_einfügen!J4</f>
        <v/>
      </c>
      <c r="F4" t="b">
        <f t="shared" si="0"/>
        <v>1</v>
      </c>
    </row>
    <row r="5" spans="1:6">
      <c r="B5" t="str">
        <f>Mutationen_einfügen!H5</f>
        <v/>
      </c>
      <c r="C5" t="str">
        <f t="shared" si="1"/>
        <v/>
      </c>
      <c r="D5" t="str">
        <f>Mutationen_einfügen!I5</f>
        <v/>
      </c>
      <c r="E5" t="str">
        <f>Mutationen_einfügen!J5</f>
        <v/>
      </c>
      <c r="F5" t="b">
        <f t="shared" si="0"/>
        <v>1</v>
      </c>
    </row>
    <row r="6" spans="1:6">
      <c r="B6" t="str">
        <f>Mutationen_einfügen!H6</f>
        <v/>
      </c>
      <c r="C6" t="str">
        <f t="shared" si="1"/>
        <v/>
      </c>
      <c r="D6" t="str">
        <f>Mutationen_einfügen!I6</f>
        <v/>
      </c>
      <c r="E6" t="str">
        <f>Mutationen_einfügen!J6</f>
        <v/>
      </c>
      <c r="F6" t="b">
        <f t="shared" si="0"/>
        <v>1</v>
      </c>
    </row>
    <row r="7" spans="1:6">
      <c r="B7" t="str">
        <f>Mutationen_einfügen!H7</f>
        <v/>
      </c>
      <c r="C7" t="str">
        <f t="shared" si="1"/>
        <v/>
      </c>
      <c r="D7" t="str">
        <f>Mutationen_einfügen!I7</f>
        <v/>
      </c>
      <c r="E7" t="str">
        <f>Mutationen_einfügen!J7</f>
        <v/>
      </c>
      <c r="F7" t="b">
        <f t="shared" si="0"/>
        <v>1</v>
      </c>
    </row>
    <row r="8" spans="1:6">
      <c r="B8" t="str">
        <f>Mutationen_einfügen!H8</f>
        <v/>
      </c>
      <c r="C8" t="str">
        <f t="shared" si="1"/>
        <v/>
      </c>
      <c r="D8" t="str">
        <f>Mutationen_einfügen!I8</f>
        <v/>
      </c>
      <c r="E8" t="str">
        <f>Mutationen_einfügen!J8</f>
        <v/>
      </c>
      <c r="F8" t="b">
        <f t="shared" si="0"/>
        <v>1</v>
      </c>
    </row>
    <row r="9" spans="1:6">
      <c r="B9">
        <f>Mutationen_einfügen!H9</f>
        <v>195</v>
      </c>
      <c r="C9">
        <f t="shared" si="1"/>
        <v>197</v>
      </c>
      <c r="D9" t="str">
        <f>Mutationen_einfügen!I9</f>
        <v>D</v>
      </c>
      <c r="E9" t="str">
        <f>Mutationen_einfügen!J9</f>
        <v>I</v>
      </c>
      <c r="F9" t="b">
        <f t="shared" si="0"/>
        <v>0</v>
      </c>
    </row>
    <row r="10" spans="1:6">
      <c r="B10">
        <f>Mutationen_einfügen!H10</f>
        <v>196</v>
      </c>
      <c r="C10">
        <f t="shared" si="1"/>
        <v>198</v>
      </c>
      <c r="D10" t="str">
        <f>Mutationen_einfügen!I10</f>
        <v>L</v>
      </c>
      <c r="E10" t="str">
        <f>Mutationen_einfügen!J10</f>
        <v>L</v>
      </c>
      <c r="F10" t="b">
        <f t="shared" si="0"/>
        <v>1</v>
      </c>
    </row>
    <row r="11" spans="1:6">
      <c r="B11">
        <f>Mutationen_einfügen!H11</f>
        <v>197</v>
      </c>
      <c r="C11">
        <f t="shared" si="1"/>
        <v>199</v>
      </c>
      <c r="D11" t="str">
        <f>Mutationen_einfügen!I11</f>
        <v>D</v>
      </c>
      <c r="E11" t="str">
        <f>Mutationen_einfügen!J11</f>
        <v>N</v>
      </c>
      <c r="F11" t="b">
        <f t="shared" si="0"/>
        <v>0</v>
      </c>
    </row>
    <row r="12" spans="1:6">
      <c r="B12" t="str">
        <f>Mutationen_einfügen!H12</f>
        <v/>
      </c>
      <c r="C12" t="str">
        <f t="shared" si="1"/>
        <v/>
      </c>
      <c r="D12" t="str">
        <f>Mutationen_einfügen!I12</f>
        <v/>
      </c>
      <c r="E12" t="str">
        <f>Mutationen_einfügen!J12</f>
        <v/>
      </c>
      <c r="F12" t="b">
        <f t="shared" si="0"/>
        <v>1</v>
      </c>
    </row>
    <row r="13" spans="1:6">
      <c r="B13" t="str">
        <f>Mutationen_einfügen!H13</f>
        <v/>
      </c>
      <c r="C13" t="str">
        <f t="shared" si="1"/>
        <v/>
      </c>
      <c r="D13" t="str">
        <f>Mutationen_einfügen!I13</f>
        <v/>
      </c>
      <c r="E13" t="str">
        <f>Mutationen_einfügen!J13</f>
        <v/>
      </c>
      <c r="F13" t="b">
        <f t="shared" si="0"/>
        <v>1</v>
      </c>
    </row>
    <row r="14" spans="1:6">
      <c r="B14" t="str">
        <f>Mutationen_einfügen!H14</f>
        <v/>
      </c>
      <c r="C14" t="str">
        <f t="shared" si="1"/>
        <v/>
      </c>
      <c r="D14" t="str">
        <f>Mutationen_einfügen!I14</f>
        <v/>
      </c>
      <c r="E14" t="str">
        <f>Mutationen_einfügen!J14</f>
        <v/>
      </c>
      <c r="F14" t="b">
        <f t="shared" si="0"/>
        <v>1</v>
      </c>
    </row>
    <row r="15" spans="1:6">
      <c r="B15" t="str">
        <f>Mutationen_einfügen!H15</f>
        <v/>
      </c>
      <c r="C15" t="str">
        <f t="shared" si="1"/>
        <v/>
      </c>
      <c r="D15" t="str">
        <f>Mutationen_einfügen!I15</f>
        <v/>
      </c>
      <c r="E15" t="str">
        <f>Mutationen_einfügen!J15</f>
        <v/>
      </c>
      <c r="F15" t="b">
        <f t="shared" si="0"/>
        <v>1</v>
      </c>
    </row>
    <row r="16" spans="1:6">
      <c r="B16">
        <f>Mutationen_einfügen!H16</f>
        <v>219</v>
      </c>
      <c r="C16">
        <f t="shared" si="1"/>
        <v>221</v>
      </c>
      <c r="D16" t="str">
        <f>Mutationen_einfügen!I16</f>
        <v>S</v>
      </c>
      <c r="E16" t="str">
        <f>Mutationen_einfügen!J16</f>
        <v>K</v>
      </c>
      <c r="F16" t="b">
        <f t="shared" si="0"/>
        <v>0</v>
      </c>
    </row>
    <row r="17" spans="2:6">
      <c r="B17" t="str">
        <f>Mutationen_einfügen!H17</f>
        <v/>
      </c>
      <c r="C17" t="str">
        <f t="shared" si="1"/>
        <v/>
      </c>
      <c r="D17" t="str">
        <f>Mutationen_einfügen!I17</f>
        <v/>
      </c>
      <c r="E17" t="str">
        <f>Mutationen_einfügen!J17</f>
        <v/>
      </c>
      <c r="F17" t="b">
        <f t="shared" si="0"/>
        <v>1</v>
      </c>
    </row>
    <row r="18" spans="2:6">
      <c r="B18" t="str">
        <f>Mutationen_einfügen!H18</f>
        <v/>
      </c>
      <c r="C18" t="str">
        <f t="shared" si="1"/>
        <v/>
      </c>
      <c r="D18" t="str">
        <f>Mutationen_einfügen!I18</f>
        <v/>
      </c>
      <c r="E18" t="str">
        <f>Mutationen_einfügen!J18</f>
        <v/>
      </c>
      <c r="F18" t="b">
        <f t="shared" si="0"/>
        <v>1</v>
      </c>
    </row>
    <row r="19" spans="2:6">
      <c r="B19" t="str">
        <f>Mutationen_einfügen!H19</f>
        <v/>
      </c>
      <c r="C19" t="str">
        <f t="shared" si="1"/>
        <v/>
      </c>
      <c r="D19" t="str">
        <f>Mutationen_einfügen!I19</f>
        <v/>
      </c>
      <c r="E19" t="str">
        <f>Mutationen_einfügen!J19</f>
        <v/>
      </c>
      <c r="F19" t="b">
        <f t="shared" si="0"/>
        <v>1</v>
      </c>
    </row>
    <row r="20" spans="2:6">
      <c r="B20" t="str">
        <f>Mutationen_einfügen!H20</f>
        <v/>
      </c>
      <c r="C20" t="str">
        <f t="shared" si="1"/>
        <v/>
      </c>
      <c r="D20" t="str">
        <f>Mutationen_einfügen!I20</f>
        <v/>
      </c>
      <c r="E20" t="str">
        <f>Mutationen_einfügen!J20</f>
        <v/>
      </c>
      <c r="F20" t="b">
        <f t="shared" si="0"/>
        <v>1</v>
      </c>
    </row>
    <row r="21" spans="2:6">
      <c r="B21" t="str">
        <f>Mutationen_einfügen!H21</f>
        <v/>
      </c>
      <c r="C21" t="str">
        <f t="shared" si="1"/>
        <v/>
      </c>
      <c r="D21" t="str">
        <f>Mutationen_einfügen!I21</f>
        <v/>
      </c>
      <c r="E21" t="str">
        <f>Mutationen_einfügen!J21</f>
        <v/>
      </c>
      <c r="F21" t="b">
        <f t="shared" si="0"/>
        <v>1</v>
      </c>
    </row>
    <row r="22" spans="2:6">
      <c r="B22" t="str">
        <f>Mutationen_einfügen!H22</f>
        <v/>
      </c>
      <c r="C22" t="str">
        <f t="shared" si="1"/>
        <v/>
      </c>
      <c r="D22" t="str">
        <f>Mutationen_einfügen!I22</f>
        <v/>
      </c>
      <c r="E22" t="str">
        <f>Mutationen_einfügen!J22</f>
        <v/>
      </c>
      <c r="F22" t="b">
        <f t="shared" si="0"/>
        <v>1</v>
      </c>
    </row>
    <row r="23" spans="2:6">
      <c r="B23">
        <f>Mutationen_einfügen!H23</f>
        <v>242</v>
      </c>
      <c r="C23">
        <f t="shared" si="1"/>
        <v>244</v>
      </c>
      <c r="D23" t="str">
        <f>Mutationen_einfügen!I23</f>
        <v>V</v>
      </c>
      <c r="E23" t="str">
        <f>Mutationen_einfügen!J23</f>
        <v>K</v>
      </c>
      <c r="F23" t="b">
        <f t="shared" si="0"/>
        <v>0</v>
      </c>
    </row>
    <row r="24" spans="2:6">
      <c r="B24" t="str">
        <f>Mutationen_einfügen!H24</f>
        <v/>
      </c>
      <c r="C24" t="str">
        <f t="shared" si="1"/>
        <v/>
      </c>
      <c r="D24" t="str">
        <f>Mutationen_einfügen!I24</f>
        <v/>
      </c>
      <c r="E24" t="str">
        <f>Mutationen_einfügen!J24</f>
        <v/>
      </c>
      <c r="F24" t="b">
        <f t="shared" si="0"/>
        <v>1</v>
      </c>
    </row>
    <row r="25" spans="2:6">
      <c r="B25" t="str">
        <f>Mutationen_einfügen!H25</f>
        <v/>
      </c>
      <c r="C25" t="str">
        <f t="shared" si="1"/>
        <v/>
      </c>
      <c r="D25" t="str">
        <f>Mutationen_einfügen!I25</f>
        <v/>
      </c>
      <c r="E25" t="str">
        <f>Mutationen_einfügen!J25</f>
        <v/>
      </c>
      <c r="F25" t="b">
        <f t="shared" si="0"/>
        <v>1</v>
      </c>
    </row>
    <row r="26" spans="2:6">
      <c r="B26" t="str">
        <f>Mutationen_einfügen!H26</f>
        <v/>
      </c>
      <c r="C26" t="str">
        <f t="shared" si="1"/>
        <v/>
      </c>
      <c r="D26" t="str">
        <f>Mutationen_einfügen!I26</f>
        <v/>
      </c>
      <c r="E26" t="str">
        <f>Mutationen_einfügen!J26</f>
        <v/>
      </c>
      <c r="F26" t="b">
        <f t="shared" si="0"/>
        <v>1</v>
      </c>
    </row>
    <row r="27" spans="2:6">
      <c r="B27" t="str">
        <f>Mutationen_einfügen!H27</f>
        <v/>
      </c>
      <c r="C27" t="str">
        <f t="shared" si="1"/>
        <v/>
      </c>
      <c r="D27" t="str">
        <f>Mutationen_einfügen!I27</f>
        <v/>
      </c>
      <c r="E27" t="str">
        <f>Mutationen_einfügen!J27</f>
        <v/>
      </c>
      <c r="F27" t="b">
        <f t="shared" si="0"/>
        <v>1</v>
      </c>
    </row>
    <row r="28" spans="2:6">
      <c r="B28" t="str">
        <f>Mutationen_einfügen!H28</f>
        <v/>
      </c>
      <c r="C28" t="str">
        <f t="shared" si="1"/>
        <v/>
      </c>
      <c r="D28" t="str">
        <f>Mutationen_einfügen!I28</f>
        <v/>
      </c>
      <c r="E28" t="str">
        <f>Mutationen_einfügen!J28</f>
        <v/>
      </c>
      <c r="F28" t="b">
        <f t="shared" si="0"/>
        <v>1</v>
      </c>
    </row>
    <row r="29" spans="2:6">
      <c r="B29" t="str">
        <f>Mutationen_einfügen!H29</f>
        <v/>
      </c>
      <c r="C29" t="str">
        <f t="shared" si="1"/>
        <v/>
      </c>
      <c r="D29" t="str">
        <f>Mutationen_einfügen!I29</f>
        <v/>
      </c>
      <c r="E29" t="str">
        <f>Mutationen_einfügen!J29</f>
        <v/>
      </c>
      <c r="F29" t="b">
        <f t="shared" si="0"/>
        <v>1</v>
      </c>
    </row>
    <row r="30" spans="2:6">
      <c r="B30">
        <f>Mutationen_einfügen!H30</f>
        <v>245</v>
      </c>
      <c r="C30">
        <f t="shared" si="1"/>
        <v>247</v>
      </c>
      <c r="D30" t="str">
        <f>Mutationen_einfügen!I30</f>
        <v>E</v>
      </c>
      <c r="E30" t="str">
        <f>Mutationen_einfügen!J30</f>
        <v>L</v>
      </c>
      <c r="F30" t="b">
        <f t="shared" si="0"/>
        <v>0</v>
      </c>
    </row>
    <row r="31" spans="2:6">
      <c r="B31" t="str">
        <f>Mutationen_einfügen!H31</f>
        <v/>
      </c>
      <c r="C31" t="str">
        <f t="shared" si="1"/>
        <v/>
      </c>
      <c r="D31" t="str">
        <f>Mutationen_einfügen!I31</f>
        <v/>
      </c>
      <c r="E31" t="str">
        <f>Mutationen_einfügen!J31</f>
        <v/>
      </c>
      <c r="F31" t="b">
        <f t="shared" si="0"/>
        <v>1</v>
      </c>
    </row>
    <row r="32" spans="2:6">
      <c r="B32" t="str">
        <f>Mutationen_einfügen!H32</f>
        <v/>
      </c>
      <c r="C32" t="str">
        <f t="shared" si="1"/>
        <v/>
      </c>
      <c r="D32" t="str">
        <f>Mutationen_einfügen!I32</f>
        <v/>
      </c>
      <c r="E32" t="str">
        <f>Mutationen_einfügen!J32</f>
        <v/>
      </c>
      <c r="F32" t="b">
        <f t="shared" si="0"/>
        <v>1</v>
      </c>
    </row>
    <row r="33" spans="2:6">
      <c r="B33" t="str">
        <f>Mutationen_einfügen!H33</f>
        <v/>
      </c>
      <c r="C33" t="str">
        <f t="shared" si="1"/>
        <v/>
      </c>
      <c r="D33" t="str">
        <f>Mutationen_einfügen!I33</f>
        <v/>
      </c>
      <c r="E33" t="str">
        <f>Mutationen_einfügen!J33</f>
        <v/>
      </c>
      <c r="F33" t="b">
        <f t="shared" si="0"/>
        <v>1</v>
      </c>
    </row>
    <row r="34" spans="2:6">
      <c r="B34" t="str">
        <f>Mutationen_einfügen!H34</f>
        <v/>
      </c>
      <c r="C34" t="str">
        <f t="shared" si="1"/>
        <v/>
      </c>
      <c r="D34" t="str">
        <f>Mutationen_einfügen!I34</f>
        <v/>
      </c>
      <c r="E34" t="str">
        <f>Mutationen_einfügen!J34</f>
        <v/>
      </c>
      <c r="F34" t="b">
        <f t="shared" si="0"/>
        <v>1</v>
      </c>
    </row>
    <row r="35" spans="2:6">
      <c r="B35" t="str">
        <f>Mutationen_einfügen!H35</f>
        <v/>
      </c>
      <c r="C35" t="str">
        <f t="shared" si="1"/>
        <v/>
      </c>
      <c r="D35" t="str">
        <f>Mutationen_einfügen!I35</f>
        <v/>
      </c>
      <c r="E35" t="str">
        <f>Mutationen_einfügen!J35</f>
        <v/>
      </c>
      <c r="F35" t="b">
        <f t="shared" si="0"/>
        <v>1</v>
      </c>
    </row>
    <row r="36" spans="2:6">
      <c r="B36" t="str">
        <f>Mutationen_einfügen!H36</f>
        <v/>
      </c>
      <c r="C36" t="str">
        <f t="shared" si="1"/>
        <v/>
      </c>
      <c r="D36" t="str">
        <f>Mutationen_einfügen!I36</f>
        <v/>
      </c>
      <c r="E36" t="str">
        <f>Mutationen_einfügen!J36</f>
        <v/>
      </c>
      <c r="F36" t="b">
        <f t="shared" si="0"/>
        <v>1</v>
      </c>
    </row>
    <row r="37" spans="2:6">
      <c r="B37">
        <f>Mutationen_einfügen!H37</f>
        <v>266</v>
      </c>
      <c r="C37">
        <f t="shared" si="1"/>
        <v>268</v>
      </c>
      <c r="D37" t="str">
        <f>Mutationen_einfügen!I37</f>
        <v>Q</v>
      </c>
      <c r="E37" t="str">
        <f>Mutationen_einfügen!J37</f>
        <v>E</v>
      </c>
      <c r="F37" t="b">
        <f t="shared" si="0"/>
        <v>0</v>
      </c>
    </row>
    <row r="38" spans="2:6">
      <c r="B38">
        <f>Mutationen_einfügen!H38</f>
        <v>267</v>
      </c>
      <c r="C38">
        <f t="shared" si="1"/>
        <v>269</v>
      </c>
      <c r="D38" t="str">
        <f>Mutationen_einfügen!I38</f>
        <v>A</v>
      </c>
      <c r="E38" t="str">
        <f>Mutationen_einfügen!J38</f>
        <v>I</v>
      </c>
      <c r="F38" t="b">
        <f t="shared" si="0"/>
        <v>0</v>
      </c>
    </row>
    <row r="39" spans="2:6">
      <c r="B39">
        <f>Mutationen_einfügen!H39</f>
        <v>268</v>
      </c>
      <c r="C39">
        <f t="shared" si="1"/>
        <v>270</v>
      </c>
      <c r="D39" t="str">
        <f>Mutationen_einfügen!I39</f>
        <v>L</v>
      </c>
      <c r="E39" t="str">
        <f>Mutationen_einfügen!J39</f>
        <v>L</v>
      </c>
      <c r="F39" t="b">
        <f t="shared" si="0"/>
        <v>1</v>
      </c>
    </row>
    <row r="40" spans="2:6">
      <c r="B40">
        <f>Mutationen_einfügen!H40</f>
        <v>269</v>
      </c>
      <c r="C40">
        <f t="shared" si="1"/>
        <v>271</v>
      </c>
      <c r="D40" t="str">
        <f>Mutationen_einfügen!I40</f>
        <v>R</v>
      </c>
      <c r="E40" t="str">
        <f>Mutationen_einfügen!J40</f>
        <v>I</v>
      </c>
      <c r="F40" t="b">
        <f t="shared" si="0"/>
        <v>0</v>
      </c>
    </row>
    <row r="41" spans="2:6">
      <c r="B41">
        <f>Mutationen_einfügen!H41</f>
        <v>270</v>
      </c>
      <c r="C41">
        <f t="shared" si="1"/>
        <v>272</v>
      </c>
      <c r="D41" t="str">
        <f>Mutationen_einfügen!I41</f>
        <v>I</v>
      </c>
      <c r="E41" t="str">
        <f>Mutationen_einfügen!J41</f>
        <v>I</v>
      </c>
      <c r="F41" t="b">
        <f t="shared" si="0"/>
        <v>1</v>
      </c>
    </row>
    <row r="42" spans="2:6">
      <c r="B42">
        <f>Mutationen_einfügen!H42</f>
        <v>271</v>
      </c>
      <c r="C42">
        <f t="shared" si="1"/>
        <v>273</v>
      </c>
      <c r="D42" t="str">
        <f>Mutationen_einfügen!I42</f>
        <v>Y</v>
      </c>
      <c r="E42" t="str">
        <f>Mutationen_einfügen!J42</f>
        <v>L</v>
      </c>
      <c r="F42" t="b">
        <f t="shared" si="0"/>
        <v>0</v>
      </c>
    </row>
    <row r="43" spans="2:6">
      <c r="B43">
        <f>Mutationen_einfügen!H43</f>
        <v>272</v>
      </c>
      <c r="C43">
        <f t="shared" si="1"/>
        <v>274</v>
      </c>
      <c r="D43" t="str">
        <f>Mutationen_einfügen!I43</f>
        <v>K</v>
      </c>
      <c r="E43" t="str">
        <f>Mutationen_einfügen!J43</f>
        <v>K</v>
      </c>
      <c r="F43" t="b">
        <f t="shared" si="0"/>
        <v>1</v>
      </c>
    </row>
    <row r="44" spans="2:6">
      <c r="B44">
        <f>Mutationen_einfügen!H44</f>
        <v>290</v>
      </c>
      <c r="C44">
        <f t="shared" si="1"/>
        <v>292</v>
      </c>
      <c r="D44" t="str">
        <f>Mutationen_einfügen!I44</f>
        <v>T</v>
      </c>
      <c r="E44" t="str">
        <f>Mutationen_einfügen!J44</f>
        <v>Y</v>
      </c>
      <c r="F44" t="b">
        <f t="shared" si="0"/>
        <v>0</v>
      </c>
    </row>
    <row r="45" spans="2:6">
      <c r="B45">
        <f>Mutationen_einfügen!H45</f>
        <v>291</v>
      </c>
      <c r="C45">
        <f t="shared" si="1"/>
        <v>293</v>
      </c>
      <c r="D45" t="str">
        <f>Mutationen_einfügen!I45</f>
        <v>H</v>
      </c>
      <c r="E45" t="str">
        <f>Mutationen_einfügen!J45</f>
        <v>T</v>
      </c>
      <c r="F45" t="b">
        <f t="shared" si="0"/>
        <v>0</v>
      </c>
    </row>
    <row r="46" spans="2:6">
      <c r="B46">
        <f>Mutationen_einfügen!H46</f>
        <v>292</v>
      </c>
      <c r="C46">
        <f t="shared" si="1"/>
        <v>294</v>
      </c>
      <c r="D46" t="str">
        <f>Mutationen_einfügen!I46</f>
        <v>L</v>
      </c>
      <c r="E46" t="str">
        <f>Mutationen_einfügen!J46</f>
        <v>L</v>
      </c>
      <c r="F46" t="b">
        <f t="shared" si="0"/>
        <v>1</v>
      </c>
    </row>
    <row r="47" spans="2:6">
      <c r="B47">
        <f>Mutationen_einfügen!H47</f>
        <v>293</v>
      </c>
      <c r="C47">
        <f t="shared" si="1"/>
        <v>295</v>
      </c>
      <c r="D47" t="str">
        <f>Mutationen_einfügen!I47</f>
        <v>G</v>
      </c>
      <c r="E47" t="str">
        <f>Mutationen_einfügen!J47</f>
        <v>M</v>
      </c>
      <c r="F47" t="b">
        <f t="shared" si="0"/>
        <v>0</v>
      </c>
    </row>
    <row r="48" spans="2:6">
      <c r="B48">
        <f>Mutationen_einfügen!H48</f>
        <v>294</v>
      </c>
      <c r="C48">
        <f t="shared" si="1"/>
        <v>296</v>
      </c>
      <c r="D48" t="str">
        <f>Mutationen_einfügen!I48</f>
        <v>L</v>
      </c>
      <c r="E48" t="str">
        <f>Mutationen_einfügen!J48</f>
        <v>L</v>
      </c>
      <c r="F48" t="b">
        <f t="shared" si="0"/>
        <v>1</v>
      </c>
    </row>
    <row r="49" spans="2:6">
      <c r="B49">
        <f>Mutationen_einfügen!H49</f>
        <v>295</v>
      </c>
      <c r="C49">
        <f t="shared" si="1"/>
        <v>297</v>
      </c>
      <c r="D49" t="str">
        <f>Mutationen_einfügen!I49</f>
        <v>S</v>
      </c>
      <c r="E49" t="str">
        <f>Mutationen_einfügen!J49</f>
        <v>M</v>
      </c>
      <c r="F49" t="b">
        <f t="shared" si="0"/>
        <v>0</v>
      </c>
    </row>
    <row r="50" spans="2:6">
      <c r="B50">
        <f>Mutationen_einfügen!H50</f>
        <v>296</v>
      </c>
      <c r="C50">
        <f t="shared" si="1"/>
        <v>298</v>
      </c>
      <c r="D50" t="str">
        <f>Mutationen_einfügen!I50</f>
        <v>E</v>
      </c>
      <c r="E50" t="str">
        <f>Mutationen_einfügen!J50</f>
        <v>E</v>
      </c>
      <c r="F50" t="b">
        <f t="shared" si="0"/>
        <v>1</v>
      </c>
    </row>
    <row r="51" spans="2:6">
      <c r="B51">
        <f>Mutationen_einfügen!H51</f>
        <v>314</v>
      </c>
      <c r="C51">
        <f t="shared" si="1"/>
        <v>316</v>
      </c>
      <c r="D51" t="str">
        <f>Mutationen_einfügen!I51</f>
        <v>E</v>
      </c>
      <c r="E51" t="str">
        <f>Mutationen_einfügen!J51</f>
        <v>Q</v>
      </c>
      <c r="F51" t="b">
        <f t="shared" si="0"/>
        <v>0</v>
      </c>
    </row>
    <row r="52" spans="2:6">
      <c r="B52">
        <f>Mutationen_einfügen!H52</f>
        <v>315</v>
      </c>
      <c r="C52">
        <f t="shared" si="1"/>
        <v>317</v>
      </c>
      <c r="D52" t="str">
        <f>Mutationen_einfügen!I52</f>
        <v>V</v>
      </c>
      <c r="E52" t="str">
        <f>Mutationen_einfügen!J52</f>
        <v>I</v>
      </c>
      <c r="F52" t="b">
        <f t="shared" si="0"/>
        <v>0</v>
      </c>
    </row>
    <row r="53" spans="2:6">
      <c r="B53">
        <f>Mutationen_einfügen!H53</f>
        <v>316</v>
      </c>
      <c r="C53">
        <f t="shared" si="1"/>
        <v>318</v>
      </c>
      <c r="D53" t="str">
        <f>Mutationen_einfügen!I53</f>
        <v>L</v>
      </c>
      <c r="E53" t="str">
        <f>Mutationen_einfügen!J53</f>
        <v>L</v>
      </c>
      <c r="F53" t="b">
        <f t="shared" si="0"/>
        <v>1</v>
      </c>
    </row>
    <row r="54" spans="2:6">
      <c r="B54">
        <f>Mutationen_einfügen!H54</f>
        <v>317</v>
      </c>
      <c r="C54">
        <f t="shared" si="1"/>
        <v>319</v>
      </c>
      <c r="D54" t="str">
        <f>Mutationen_einfügen!I54</f>
        <v>T</v>
      </c>
      <c r="E54" t="str">
        <f>Mutationen_einfügen!J54</f>
        <v>W</v>
      </c>
      <c r="F54" t="b">
        <f t="shared" si="0"/>
        <v>0</v>
      </c>
    </row>
    <row r="55" spans="2:6">
      <c r="B55">
        <f>Mutationen_einfügen!H55</f>
        <v>318</v>
      </c>
      <c r="C55">
        <f t="shared" si="1"/>
        <v>320</v>
      </c>
      <c r="D55" t="str">
        <f>Mutationen_einfügen!I55</f>
        <v>L</v>
      </c>
      <c r="E55" t="str">
        <f>Mutationen_einfügen!J55</f>
        <v>L</v>
      </c>
      <c r="F55" t="b">
        <f t="shared" si="0"/>
        <v>1</v>
      </c>
    </row>
    <row r="56" spans="2:6">
      <c r="B56">
        <f>Mutationen_einfügen!H56</f>
        <v>319</v>
      </c>
      <c r="C56">
        <f t="shared" si="1"/>
        <v>321</v>
      </c>
      <c r="D56" t="str">
        <f>Mutationen_einfügen!I56</f>
        <v>H</v>
      </c>
      <c r="E56" t="str">
        <f>Mutationen_einfügen!J56</f>
        <v>A</v>
      </c>
      <c r="F56" t="b">
        <f t="shared" si="0"/>
        <v>0</v>
      </c>
    </row>
    <row r="57" spans="2:6">
      <c r="B57">
        <f>Mutationen_einfügen!H57</f>
        <v>320</v>
      </c>
      <c r="C57">
        <f t="shared" si="1"/>
        <v>322</v>
      </c>
      <c r="D57" t="str">
        <f>Mutationen_einfügen!I57</f>
        <v>S</v>
      </c>
      <c r="E57" t="str">
        <f>Mutationen_einfügen!J57</f>
        <v>S</v>
      </c>
      <c r="F57" t="b">
        <f t="shared" si="0"/>
        <v>1</v>
      </c>
    </row>
    <row r="58" spans="2:6">
      <c r="B58">
        <f>Mutationen_einfügen!H58</f>
        <v>341</v>
      </c>
      <c r="C58">
        <f t="shared" si="1"/>
        <v>343</v>
      </c>
      <c r="D58" t="str">
        <f>Mutationen_einfügen!I58</f>
        <v>T</v>
      </c>
      <c r="E58" t="str">
        <f>Mutationen_einfügen!J58</f>
        <v>V</v>
      </c>
      <c r="F58" t="b">
        <f t="shared" si="0"/>
        <v>0</v>
      </c>
    </row>
    <row r="59" spans="2:6">
      <c r="B59">
        <f>Mutationen_einfügen!H59</f>
        <v>342</v>
      </c>
      <c r="C59">
        <f t="shared" si="1"/>
        <v>344</v>
      </c>
      <c r="D59" t="str">
        <f>Mutationen_einfügen!I59</f>
        <v>V</v>
      </c>
      <c r="E59" t="str">
        <f>Mutationen_einfügen!J59</f>
        <v>V</v>
      </c>
      <c r="F59" t="b">
        <f t="shared" si="0"/>
        <v>1</v>
      </c>
    </row>
    <row r="60" spans="2:6">
      <c r="B60">
        <f>Mutationen_einfügen!H60</f>
        <v>343</v>
      </c>
      <c r="C60">
        <f t="shared" si="1"/>
        <v>345</v>
      </c>
      <c r="D60" t="str">
        <f>Mutationen_einfügen!I60</f>
        <v>G</v>
      </c>
      <c r="E60" t="str">
        <f>Mutationen_einfügen!J60</f>
        <v>A</v>
      </c>
      <c r="F60" t="b">
        <f t="shared" si="0"/>
        <v>0</v>
      </c>
    </row>
    <row r="61" spans="2:6">
      <c r="B61" t="str">
        <f>Mutationen_einfügen!H61</f>
        <v/>
      </c>
      <c r="C61" t="str">
        <f t="shared" si="1"/>
        <v/>
      </c>
      <c r="D61" t="str">
        <f>Mutationen_einfügen!I61</f>
        <v/>
      </c>
      <c r="E61" t="str">
        <f>Mutationen_einfügen!J61</f>
        <v/>
      </c>
      <c r="F61" t="b">
        <f t="shared" si="0"/>
        <v>1</v>
      </c>
    </row>
    <row r="62" spans="2:6">
      <c r="B62" t="str">
        <f>Mutationen_einfügen!H62</f>
        <v/>
      </c>
      <c r="C62" t="str">
        <f t="shared" si="1"/>
        <v/>
      </c>
      <c r="D62" t="str">
        <f>Mutationen_einfügen!I62</f>
        <v/>
      </c>
      <c r="E62" t="str">
        <f>Mutationen_einfügen!J62</f>
        <v/>
      </c>
      <c r="F62" t="b">
        <f t="shared" si="0"/>
        <v>1</v>
      </c>
    </row>
    <row r="63" spans="2:6">
      <c r="B63" t="str">
        <f>Mutationen_einfügen!H63</f>
        <v/>
      </c>
      <c r="C63" t="str">
        <f t="shared" si="1"/>
        <v/>
      </c>
      <c r="D63" t="str">
        <f>Mutationen_einfügen!I63</f>
        <v/>
      </c>
      <c r="E63" t="str">
        <f>Mutationen_einfügen!J63</f>
        <v/>
      </c>
      <c r="F63" t="b">
        <f t="shared" si="0"/>
        <v>1</v>
      </c>
    </row>
    <row r="64" spans="2:6">
      <c r="B64" t="str">
        <f>Mutationen_einfügen!H64</f>
        <v/>
      </c>
      <c r="C64" t="str">
        <f t="shared" si="1"/>
        <v/>
      </c>
      <c r="D64" t="str">
        <f>Mutationen_einfügen!I64</f>
        <v/>
      </c>
      <c r="E64" t="str">
        <f>Mutationen_einfügen!J64</f>
        <v/>
      </c>
      <c r="F64" t="b">
        <f t="shared" si="0"/>
        <v>1</v>
      </c>
    </row>
    <row r="65" spans="2:6">
      <c r="B65">
        <f>Mutationen_einfügen!H65</f>
        <v>363</v>
      </c>
      <c r="C65">
        <f t="shared" si="1"/>
        <v>365</v>
      </c>
      <c r="D65" t="str">
        <f>Mutationen_einfügen!I65</f>
        <v>N</v>
      </c>
      <c r="E65" t="str">
        <f>Mutationen_einfügen!J65</f>
        <v>V</v>
      </c>
      <c r="F65" t="b">
        <f t="shared" si="0"/>
        <v>0</v>
      </c>
    </row>
    <row r="66" spans="2:6">
      <c r="B66">
        <f>Mutationen_einfügen!H66</f>
        <v>364</v>
      </c>
      <c r="C66">
        <f t="shared" si="1"/>
        <v>366</v>
      </c>
      <c r="D66" t="str">
        <f>Mutationen_einfügen!I66</f>
        <v>L</v>
      </c>
      <c r="E66" t="str">
        <f>Mutationen_einfügen!J66</f>
        <v>L</v>
      </c>
      <c r="F66" t="b">
        <f t="shared" ref="F66:F129" si="2">EXACT(D66,E66)</f>
        <v>1</v>
      </c>
    </row>
    <row r="67" spans="2:6">
      <c r="B67">
        <f>Mutationen_einfügen!H67</f>
        <v>365</v>
      </c>
      <c r="C67">
        <f t="shared" ref="C67:C91" si="3">IF(B67="","",B67+$A$2)</f>
        <v>367</v>
      </c>
      <c r="D67" t="str">
        <f>Mutationen_einfügen!I67</f>
        <v>S</v>
      </c>
      <c r="E67" t="str">
        <f>Mutationen_einfügen!J67</f>
        <v>E</v>
      </c>
      <c r="F67" t="b">
        <f t="shared" si="2"/>
        <v>0</v>
      </c>
    </row>
    <row r="68" spans="2:6">
      <c r="B68">
        <f>Mutationen_einfügen!H68</f>
        <v>366</v>
      </c>
      <c r="C68">
        <f t="shared" si="3"/>
        <v>368</v>
      </c>
      <c r="D68" t="str">
        <f>Mutationen_einfügen!I68</f>
        <v>A</v>
      </c>
      <c r="E68" t="str">
        <f>Mutationen_einfügen!J68</f>
        <v>A</v>
      </c>
      <c r="F68" t="b">
        <f t="shared" si="2"/>
        <v>1</v>
      </c>
    </row>
    <row r="69" spans="2:6">
      <c r="B69">
        <f>Mutationen_einfügen!H69</f>
        <v>367</v>
      </c>
      <c r="C69">
        <f t="shared" si="3"/>
        <v>369</v>
      </c>
      <c r="D69" t="str">
        <f>Mutationen_einfügen!I69</f>
        <v>H</v>
      </c>
      <c r="E69" t="str">
        <f>Mutationen_einfügen!J69</f>
        <v>A</v>
      </c>
      <c r="F69" t="b">
        <f t="shared" si="2"/>
        <v>0</v>
      </c>
    </row>
    <row r="70" spans="2:6">
      <c r="B70">
        <f>Mutationen_einfügen!H70</f>
        <v>368</v>
      </c>
      <c r="C70">
        <f t="shared" si="3"/>
        <v>370</v>
      </c>
      <c r="D70" t="str">
        <f>Mutationen_einfügen!I70</f>
        <v>D</v>
      </c>
      <c r="E70" t="str">
        <f>Mutationen_einfügen!J70</f>
        <v>F</v>
      </c>
      <c r="F70" t="b">
        <f t="shared" si="2"/>
        <v>0</v>
      </c>
    </row>
    <row r="71" spans="2:6">
      <c r="B71" t="str">
        <f>Mutationen_einfügen!H71</f>
        <v/>
      </c>
      <c r="C71" t="str">
        <f t="shared" si="3"/>
        <v/>
      </c>
      <c r="D71" t="str">
        <f>Mutationen_einfügen!I71</f>
        <v/>
      </c>
      <c r="E71" t="str">
        <f>Mutationen_einfügen!J71</f>
        <v/>
      </c>
      <c r="F71" t="b">
        <f t="shared" si="2"/>
        <v>1</v>
      </c>
    </row>
    <row r="72" spans="2:6">
      <c r="B72">
        <f>Mutationen_einfügen!H72</f>
        <v>387</v>
      </c>
      <c r="C72">
        <f t="shared" si="3"/>
        <v>389</v>
      </c>
      <c r="D72" t="str">
        <f>Mutationen_einfügen!I72</f>
        <v>L</v>
      </c>
      <c r="E72" t="str">
        <f>Mutationen_einfügen!J72</f>
        <v>I</v>
      </c>
      <c r="F72" t="b">
        <f t="shared" si="2"/>
        <v>0</v>
      </c>
    </row>
    <row r="73" spans="2:6">
      <c r="B73" t="str">
        <f>Mutationen_einfügen!H73</f>
        <v/>
      </c>
      <c r="C73" t="str">
        <f t="shared" si="3"/>
        <v/>
      </c>
      <c r="D73" t="str">
        <f>Mutationen_einfügen!I73</f>
        <v/>
      </c>
      <c r="E73" t="str">
        <f>Mutationen_einfügen!J73</f>
        <v/>
      </c>
      <c r="F73" t="b">
        <f t="shared" si="2"/>
        <v>1</v>
      </c>
    </row>
    <row r="74" spans="2:6">
      <c r="B74" t="str">
        <f>Mutationen_einfügen!H74</f>
        <v/>
      </c>
      <c r="C74" t="str">
        <f t="shared" si="3"/>
        <v/>
      </c>
      <c r="D74" t="str">
        <f>Mutationen_einfügen!I74</f>
        <v/>
      </c>
      <c r="E74" t="str">
        <f>Mutationen_einfügen!J74</f>
        <v/>
      </c>
      <c r="F74" t="b">
        <f t="shared" si="2"/>
        <v>1</v>
      </c>
    </row>
    <row r="75" spans="2:6">
      <c r="B75" t="str">
        <f>Mutationen_einfügen!H75</f>
        <v/>
      </c>
      <c r="C75" t="str">
        <f t="shared" si="3"/>
        <v/>
      </c>
      <c r="D75" t="str">
        <f>Mutationen_einfügen!I75</f>
        <v/>
      </c>
      <c r="E75" t="str">
        <f>Mutationen_einfügen!J75</f>
        <v/>
      </c>
      <c r="F75" t="b">
        <f t="shared" si="2"/>
        <v>1</v>
      </c>
    </row>
    <row r="76" spans="2:6">
      <c r="B76" t="str">
        <f>Mutationen_einfügen!H76</f>
        <v/>
      </c>
      <c r="C76" t="str">
        <f t="shared" si="3"/>
        <v/>
      </c>
      <c r="D76" t="str">
        <f>Mutationen_einfügen!I76</f>
        <v/>
      </c>
      <c r="E76" t="str">
        <f>Mutationen_einfügen!J76</f>
        <v/>
      </c>
      <c r="F76" t="b">
        <f t="shared" si="2"/>
        <v>1</v>
      </c>
    </row>
    <row r="77" spans="2:6">
      <c r="B77" t="str">
        <f>Mutationen_einfügen!H77</f>
        <v/>
      </c>
      <c r="C77" t="str">
        <f t="shared" si="3"/>
        <v/>
      </c>
      <c r="D77" t="str">
        <f>Mutationen_einfügen!I77</f>
        <v/>
      </c>
      <c r="E77" t="str">
        <f>Mutationen_einfügen!J77</f>
        <v/>
      </c>
      <c r="F77" t="b">
        <f t="shared" si="2"/>
        <v>1</v>
      </c>
    </row>
    <row r="78" spans="2:6">
      <c r="B78" t="str">
        <f>Mutationen_einfügen!H78</f>
        <v/>
      </c>
      <c r="C78" t="str">
        <f t="shared" si="3"/>
        <v/>
      </c>
      <c r="D78" t="str">
        <f>Mutationen_einfügen!I78</f>
        <v/>
      </c>
      <c r="E78" t="str">
        <f>Mutationen_einfügen!J78</f>
        <v/>
      </c>
      <c r="F78" t="b">
        <f t="shared" si="2"/>
        <v>1</v>
      </c>
    </row>
    <row r="79" spans="2:6">
      <c r="B79">
        <f>Mutationen_einfügen!H79</f>
        <v>410</v>
      </c>
      <c r="C79">
        <f t="shared" si="3"/>
        <v>412</v>
      </c>
      <c r="D79" t="str">
        <f>Mutationen_einfügen!I79</f>
        <v>F</v>
      </c>
      <c r="E79" t="str">
        <f>Mutationen_einfügen!J79</f>
        <v>I</v>
      </c>
      <c r="F79" t="b">
        <f t="shared" si="2"/>
        <v>0</v>
      </c>
    </row>
    <row r="80" spans="2:6">
      <c r="B80" t="str">
        <f>Mutationen_einfügen!H80</f>
        <v/>
      </c>
      <c r="C80" t="str">
        <f t="shared" si="3"/>
        <v/>
      </c>
      <c r="D80" t="str">
        <f>Mutationen_einfügen!I80</f>
        <v/>
      </c>
      <c r="E80" t="str">
        <f>Mutationen_einfügen!J80</f>
        <v/>
      </c>
      <c r="F80" t="b">
        <f t="shared" si="2"/>
        <v>1</v>
      </c>
    </row>
    <row r="81" spans="2:6">
      <c r="B81" t="str">
        <f>Mutationen_einfügen!H81</f>
        <v/>
      </c>
      <c r="C81" t="str">
        <f t="shared" si="3"/>
        <v/>
      </c>
      <c r="D81" t="str">
        <f>Mutationen_einfügen!I81</f>
        <v/>
      </c>
      <c r="E81" t="str">
        <f>Mutationen_einfügen!J81</f>
        <v/>
      </c>
      <c r="F81" t="b">
        <f t="shared" si="2"/>
        <v>1</v>
      </c>
    </row>
    <row r="82" spans="2:6">
      <c r="B82" t="str">
        <f>Mutationen_einfügen!H82</f>
        <v/>
      </c>
      <c r="C82" t="str">
        <f t="shared" si="3"/>
        <v/>
      </c>
      <c r="D82" t="str">
        <f>Mutationen_einfügen!I82</f>
        <v/>
      </c>
      <c r="E82" t="str">
        <f>Mutationen_einfügen!J82</f>
        <v/>
      </c>
      <c r="F82" t="b">
        <f t="shared" si="2"/>
        <v>1</v>
      </c>
    </row>
    <row r="83" spans="2:6">
      <c r="B83" t="str">
        <f>Mutationen_einfügen!H83</f>
        <v/>
      </c>
      <c r="C83" t="str">
        <f t="shared" si="3"/>
        <v/>
      </c>
      <c r="D83" t="str">
        <f>Mutationen_einfügen!I83</f>
        <v/>
      </c>
      <c r="E83" t="str">
        <f>Mutationen_einfügen!J83</f>
        <v/>
      </c>
      <c r="F83" t="b">
        <f t="shared" si="2"/>
        <v>1</v>
      </c>
    </row>
    <row r="84" spans="2:6">
      <c r="B84" t="str">
        <f>Mutationen_einfügen!H84</f>
        <v/>
      </c>
      <c r="C84" t="str">
        <f t="shared" si="3"/>
        <v/>
      </c>
      <c r="D84" t="str">
        <f>Mutationen_einfügen!I84</f>
        <v/>
      </c>
      <c r="E84" t="str">
        <f>Mutationen_einfügen!J84</f>
        <v/>
      </c>
      <c r="F84" t="b">
        <f t="shared" si="2"/>
        <v>1</v>
      </c>
    </row>
    <row r="85" spans="2:6">
      <c r="B85" t="str">
        <f>Mutationen_einfügen!H85</f>
        <v/>
      </c>
      <c r="C85" t="str">
        <f t="shared" si="3"/>
        <v/>
      </c>
      <c r="D85" t="str">
        <f>Mutationen_einfügen!I85</f>
        <v/>
      </c>
      <c r="E85" t="str">
        <f>Mutationen_einfügen!J85</f>
        <v/>
      </c>
      <c r="F85" t="b">
        <f t="shared" si="2"/>
        <v>1</v>
      </c>
    </row>
    <row r="86" spans="2:6">
      <c r="B86">
        <f>Mutationen_einfügen!H86</f>
        <v>434</v>
      </c>
      <c r="C86">
        <f t="shared" si="3"/>
        <v>436</v>
      </c>
      <c r="D86" t="str">
        <f>Mutationen_einfügen!I86</f>
        <v>T</v>
      </c>
      <c r="E86" t="str">
        <f>Mutationen_einfügen!J86</f>
        <v>I</v>
      </c>
      <c r="F86" t="b">
        <f t="shared" si="2"/>
        <v>0</v>
      </c>
    </row>
    <row r="87" spans="2:6">
      <c r="B87">
        <f>Mutationen_einfügen!H87</f>
        <v>435</v>
      </c>
      <c r="C87">
        <f t="shared" si="3"/>
        <v>437</v>
      </c>
      <c r="D87" t="str">
        <f>Mutationen_einfügen!I87</f>
        <v>L</v>
      </c>
      <c r="E87" t="str">
        <f>Mutationen_einfügen!J87</f>
        <v>L</v>
      </c>
      <c r="F87" t="b">
        <f t="shared" si="2"/>
        <v>1</v>
      </c>
    </row>
    <row r="88" spans="2:6">
      <c r="B88">
        <f>Mutationen_einfügen!H88</f>
        <v>436</v>
      </c>
      <c r="C88">
        <f t="shared" si="3"/>
        <v>438</v>
      </c>
      <c r="D88" t="str">
        <f>Mutationen_einfügen!I88</f>
        <v>S</v>
      </c>
      <c r="E88" t="str">
        <f>Mutationen_einfügen!J88</f>
        <v>N</v>
      </c>
      <c r="F88" t="b">
        <f t="shared" si="2"/>
        <v>0</v>
      </c>
    </row>
    <row r="89" spans="2:6">
      <c r="B89" t="str">
        <f>Mutationen_einfügen!H89</f>
        <v/>
      </c>
      <c r="C89" t="str">
        <f t="shared" si="3"/>
        <v/>
      </c>
      <c r="D89" t="str">
        <f>Mutationen_einfügen!I89</f>
        <v/>
      </c>
      <c r="E89" t="str">
        <f>Mutationen_einfügen!J89</f>
        <v/>
      </c>
      <c r="F89" t="b">
        <f t="shared" si="2"/>
        <v>1</v>
      </c>
    </row>
    <row r="90" spans="2:6">
      <c r="B90" t="str">
        <f>Mutationen_einfügen!H90</f>
        <v/>
      </c>
      <c r="C90" t="str">
        <f t="shared" si="3"/>
        <v/>
      </c>
      <c r="D90" t="str">
        <f>Mutationen_einfügen!I90</f>
        <v/>
      </c>
      <c r="E90" t="str">
        <f>Mutationen_einfügen!J90</f>
        <v/>
      </c>
      <c r="F90" t="b">
        <f t="shared" si="2"/>
        <v>1</v>
      </c>
    </row>
    <row r="91" spans="2:6">
      <c r="B91" t="str">
        <f>Mutationen_einfügen!H91</f>
        <v/>
      </c>
      <c r="C91" t="str">
        <f t="shared" si="3"/>
        <v/>
      </c>
      <c r="D91" t="str">
        <f>Mutationen_einfügen!I91</f>
        <v/>
      </c>
      <c r="E91" t="str">
        <f>Mutationen_einfügen!J91</f>
        <v/>
      </c>
      <c r="F91" t="b">
        <f t="shared" si="2"/>
        <v>1</v>
      </c>
    </row>
    <row r="92" spans="2:6">
      <c r="B92" t="str">
        <f>Mutationen_einfügen!H92</f>
        <v/>
      </c>
      <c r="C92" t="str">
        <f>IF(B92="","",B92+$A$2)</f>
        <v/>
      </c>
      <c r="D92" t="str">
        <f>Mutationen_einfügen!I92</f>
        <v/>
      </c>
      <c r="E92" t="str">
        <f>Mutationen_einfügen!J92</f>
        <v/>
      </c>
      <c r="F92" t="b">
        <f t="shared" si="2"/>
        <v>1</v>
      </c>
    </row>
    <row r="93" spans="2:6">
      <c r="B93">
        <f>Mutationen_einfügen!H93</f>
        <v>460</v>
      </c>
      <c r="C93">
        <f t="shared" ref="C93:C156" si="4">IF(B93="","",B93+$A$2)</f>
        <v>462</v>
      </c>
      <c r="D93" t="str">
        <f>Mutationen_einfügen!I93</f>
        <v>Q</v>
      </c>
      <c r="E93" t="str">
        <f>Mutationen_einfügen!J93</f>
        <v>M</v>
      </c>
      <c r="F93" t="b">
        <f t="shared" si="2"/>
        <v>0</v>
      </c>
    </row>
    <row r="94" spans="2:6">
      <c r="B94" t="str">
        <f>Mutationen_einfügen!H94</f>
        <v/>
      </c>
      <c r="C94" t="str">
        <f t="shared" si="4"/>
        <v/>
      </c>
      <c r="D94" t="str">
        <f>Mutationen_einfügen!I94</f>
        <v/>
      </c>
      <c r="E94" t="str">
        <f>Mutationen_einfügen!J94</f>
        <v/>
      </c>
      <c r="F94" t="b">
        <f t="shared" si="2"/>
        <v>1</v>
      </c>
    </row>
    <row r="95" spans="2:6">
      <c r="B95" t="str">
        <f>Mutationen_einfügen!H95</f>
        <v/>
      </c>
      <c r="C95" t="str">
        <f t="shared" si="4"/>
        <v/>
      </c>
      <c r="D95" t="str">
        <f>Mutationen_einfügen!I95</f>
        <v/>
      </c>
      <c r="E95" t="str">
        <f>Mutationen_einfügen!J95</f>
        <v/>
      </c>
      <c r="F95" t="b">
        <f t="shared" si="2"/>
        <v>1</v>
      </c>
    </row>
    <row r="96" spans="2:6">
      <c r="B96" t="str">
        <f>Mutationen_einfügen!H96</f>
        <v/>
      </c>
      <c r="C96" t="str">
        <f t="shared" si="4"/>
        <v/>
      </c>
      <c r="D96" t="str">
        <f>Mutationen_einfügen!I96</f>
        <v/>
      </c>
      <c r="E96" t="str">
        <f>Mutationen_einfügen!J96</f>
        <v/>
      </c>
      <c r="F96" t="b">
        <f t="shared" si="2"/>
        <v>1</v>
      </c>
    </row>
    <row r="97" spans="2:6">
      <c r="B97" t="str">
        <f>Mutationen_einfügen!H97</f>
        <v/>
      </c>
      <c r="C97" t="str">
        <f t="shared" si="4"/>
        <v/>
      </c>
      <c r="D97" t="str">
        <f>Mutationen_einfügen!I97</f>
        <v/>
      </c>
      <c r="E97" t="str">
        <f>Mutationen_einfügen!J97</f>
        <v/>
      </c>
      <c r="F97" t="b">
        <f t="shared" si="2"/>
        <v>1</v>
      </c>
    </row>
    <row r="98" spans="2:6">
      <c r="B98" t="str">
        <f>Mutationen_einfügen!H98</f>
        <v/>
      </c>
      <c r="C98" t="str">
        <f t="shared" si="4"/>
        <v/>
      </c>
      <c r="D98" t="str">
        <f>Mutationen_einfügen!I98</f>
        <v/>
      </c>
      <c r="E98" t="str">
        <f>Mutationen_einfügen!J98</f>
        <v/>
      </c>
      <c r="F98" t="b">
        <f t="shared" si="2"/>
        <v>1</v>
      </c>
    </row>
    <row r="99" spans="2:6">
      <c r="B99" t="str">
        <f>Mutationen_einfügen!H99</f>
        <v/>
      </c>
      <c r="C99" t="str">
        <f t="shared" si="4"/>
        <v/>
      </c>
      <c r="D99" t="str">
        <f>Mutationen_einfügen!I99</f>
        <v/>
      </c>
      <c r="E99" t="str">
        <f>Mutationen_einfügen!J99</f>
        <v/>
      </c>
      <c r="F99" t="b">
        <f t="shared" si="2"/>
        <v>1</v>
      </c>
    </row>
    <row r="100" spans="2:6">
      <c r="B100">
        <f>Mutationen_einfügen!H100</f>
        <v>0</v>
      </c>
      <c r="C100">
        <f t="shared" si="4"/>
        <v>2</v>
      </c>
      <c r="D100" t="str">
        <f>Mutationen_einfügen!I100</f>
        <v/>
      </c>
      <c r="E100" t="str">
        <f>Mutationen_einfügen!J100</f>
        <v/>
      </c>
      <c r="F100" t="b">
        <f t="shared" si="2"/>
        <v>1</v>
      </c>
    </row>
    <row r="101" spans="2:6">
      <c r="B101" t="str">
        <f>Mutationen_einfügen!H101</f>
        <v/>
      </c>
      <c r="C101" t="str">
        <f t="shared" si="4"/>
        <v/>
      </c>
      <c r="D101" t="str">
        <f>Mutationen_einfügen!I101</f>
        <v/>
      </c>
      <c r="E101" t="str">
        <f>Mutationen_einfügen!J101</f>
        <v/>
      </c>
      <c r="F101" t="b">
        <f t="shared" si="2"/>
        <v>1</v>
      </c>
    </row>
    <row r="102" spans="2:6">
      <c r="B102" t="str">
        <f>Mutationen_einfügen!H102</f>
        <v/>
      </c>
      <c r="C102" t="str">
        <f t="shared" si="4"/>
        <v/>
      </c>
      <c r="D102" t="str">
        <f>Mutationen_einfügen!I102</f>
        <v/>
      </c>
      <c r="E102" t="str">
        <f>Mutationen_einfügen!J102</f>
        <v/>
      </c>
      <c r="F102" t="b">
        <f t="shared" si="2"/>
        <v>1</v>
      </c>
    </row>
    <row r="103" spans="2:6">
      <c r="B103" t="str">
        <f>Mutationen_einfügen!H103</f>
        <v/>
      </c>
      <c r="C103" t="str">
        <f t="shared" si="4"/>
        <v/>
      </c>
      <c r="D103" t="str">
        <f>Mutationen_einfügen!I103</f>
        <v/>
      </c>
      <c r="E103" t="str">
        <f>Mutationen_einfügen!J103</f>
        <v/>
      </c>
      <c r="F103" t="b">
        <f t="shared" si="2"/>
        <v>1</v>
      </c>
    </row>
    <row r="104" spans="2:6">
      <c r="B104" t="str">
        <f>Mutationen_einfügen!H104</f>
        <v/>
      </c>
      <c r="C104" t="str">
        <f t="shared" si="4"/>
        <v/>
      </c>
      <c r="D104" t="str">
        <f>Mutationen_einfügen!I104</f>
        <v/>
      </c>
      <c r="E104" t="str">
        <f>Mutationen_einfügen!J104</f>
        <v/>
      </c>
      <c r="F104" t="b">
        <f t="shared" si="2"/>
        <v>1</v>
      </c>
    </row>
    <row r="105" spans="2:6">
      <c r="B105" t="str">
        <f>Mutationen_einfügen!H105</f>
        <v/>
      </c>
      <c r="C105" t="str">
        <f t="shared" si="4"/>
        <v/>
      </c>
      <c r="D105" t="str">
        <f>Mutationen_einfügen!I105</f>
        <v/>
      </c>
      <c r="E105" t="str">
        <f>Mutationen_einfügen!J105</f>
        <v/>
      </c>
      <c r="F105" t="b">
        <f t="shared" si="2"/>
        <v>1</v>
      </c>
    </row>
    <row r="106" spans="2:6">
      <c r="B106" t="str">
        <f>Mutationen_einfügen!H106</f>
        <v/>
      </c>
      <c r="C106" t="str">
        <f t="shared" si="4"/>
        <v/>
      </c>
      <c r="D106" t="str">
        <f>Mutationen_einfügen!I106</f>
        <v/>
      </c>
      <c r="E106" t="str">
        <f>Mutationen_einfügen!J106</f>
        <v/>
      </c>
      <c r="F106" t="b">
        <f t="shared" si="2"/>
        <v>1</v>
      </c>
    </row>
    <row r="107" spans="2:6">
      <c r="B107">
        <f>Mutationen_einfügen!H107</f>
        <v>0</v>
      </c>
      <c r="C107">
        <f t="shared" si="4"/>
        <v>2</v>
      </c>
      <c r="D107" t="str">
        <f>Mutationen_einfügen!I107</f>
        <v/>
      </c>
      <c r="E107" t="str">
        <f>Mutationen_einfügen!J107</f>
        <v/>
      </c>
      <c r="F107" t="b">
        <f t="shared" si="2"/>
        <v>1</v>
      </c>
    </row>
    <row r="108" spans="2:6">
      <c r="B108" t="str">
        <f>Mutationen_einfügen!H108</f>
        <v/>
      </c>
      <c r="C108" t="str">
        <f t="shared" si="4"/>
        <v/>
      </c>
      <c r="D108" t="str">
        <f>Mutationen_einfügen!I108</f>
        <v/>
      </c>
      <c r="E108" t="str">
        <f>Mutationen_einfügen!J108</f>
        <v/>
      </c>
      <c r="F108" t="b">
        <f t="shared" si="2"/>
        <v>1</v>
      </c>
    </row>
    <row r="109" spans="2:6">
      <c r="B109" t="str">
        <f>Mutationen_einfügen!H109</f>
        <v/>
      </c>
      <c r="C109" t="str">
        <f t="shared" si="4"/>
        <v/>
      </c>
      <c r="D109" t="str">
        <f>Mutationen_einfügen!I109</f>
        <v/>
      </c>
      <c r="E109" t="str">
        <f>Mutationen_einfügen!J109</f>
        <v/>
      </c>
      <c r="F109" t="b">
        <f t="shared" si="2"/>
        <v>1</v>
      </c>
    </row>
    <row r="110" spans="2:6">
      <c r="B110" t="str">
        <f>Mutationen_einfügen!H110</f>
        <v/>
      </c>
      <c r="C110" t="str">
        <f t="shared" si="4"/>
        <v/>
      </c>
      <c r="D110" t="str">
        <f>Mutationen_einfügen!I110</f>
        <v/>
      </c>
      <c r="E110" t="str">
        <f>Mutationen_einfügen!J110</f>
        <v/>
      </c>
      <c r="F110" t="b">
        <f t="shared" si="2"/>
        <v>1</v>
      </c>
    </row>
    <row r="111" spans="2:6">
      <c r="B111" t="str">
        <f>Mutationen_einfügen!H111</f>
        <v/>
      </c>
      <c r="C111" t="str">
        <f t="shared" si="4"/>
        <v/>
      </c>
      <c r="D111" t="str">
        <f>Mutationen_einfügen!I111</f>
        <v/>
      </c>
      <c r="E111" t="str">
        <f>Mutationen_einfügen!J111</f>
        <v/>
      </c>
      <c r="F111" t="b">
        <f t="shared" si="2"/>
        <v>1</v>
      </c>
    </row>
    <row r="112" spans="2:6">
      <c r="B112" t="str">
        <f>Mutationen_einfügen!H112</f>
        <v/>
      </c>
      <c r="C112" t="str">
        <f t="shared" si="4"/>
        <v/>
      </c>
      <c r="D112" t="str">
        <f>Mutationen_einfügen!I112</f>
        <v/>
      </c>
      <c r="E112" t="str">
        <f>Mutationen_einfügen!J112</f>
        <v/>
      </c>
      <c r="F112" t="b">
        <f t="shared" si="2"/>
        <v>1</v>
      </c>
    </row>
    <row r="113" spans="2:6">
      <c r="B113" t="str">
        <f>Mutationen_einfügen!H113</f>
        <v/>
      </c>
      <c r="C113" t="str">
        <f t="shared" si="4"/>
        <v/>
      </c>
      <c r="D113" t="str">
        <f>Mutationen_einfügen!I113</f>
        <v/>
      </c>
      <c r="E113" t="str">
        <f>Mutationen_einfügen!J113</f>
        <v/>
      </c>
      <c r="F113" t="b">
        <f t="shared" si="2"/>
        <v>1</v>
      </c>
    </row>
    <row r="114" spans="2:6">
      <c r="B114">
        <f>Mutationen_einfügen!H114</f>
        <v>0</v>
      </c>
      <c r="C114">
        <f t="shared" si="4"/>
        <v>2</v>
      </c>
      <c r="D114" t="str">
        <f>Mutationen_einfügen!I114</f>
        <v/>
      </c>
      <c r="E114" t="str">
        <f>Mutationen_einfügen!J114</f>
        <v/>
      </c>
      <c r="F114" t="b">
        <f t="shared" si="2"/>
        <v>1</v>
      </c>
    </row>
    <row r="115" spans="2:6">
      <c r="B115" t="str">
        <f>Mutationen_einfügen!H115</f>
        <v/>
      </c>
      <c r="C115" t="str">
        <f t="shared" si="4"/>
        <v/>
      </c>
      <c r="D115" t="str">
        <f>Mutationen_einfügen!I115</f>
        <v/>
      </c>
      <c r="E115" t="str">
        <f>Mutationen_einfügen!J115</f>
        <v/>
      </c>
      <c r="F115" t="b">
        <f t="shared" si="2"/>
        <v>1</v>
      </c>
    </row>
    <row r="116" spans="2:6">
      <c r="B116" t="str">
        <f>Mutationen_einfügen!H116</f>
        <v/>
      </c>
      <c r="C116" t="str">
        <f t="shared" si="4"/>
        <v/>
      </c>
      <c r="D116" t="str">
        <f>Mutationen_einfügen!I116</f>
        <v/>
      </c>
      <c r="E116" t="str">
        <f>Mutationen_einfügen!J116</f>
        <v/>
      </c>
      <c r="F116" t="b">
        <f t="shared" si="2"/>
        <v>1</v>
      </c>
    </row>
    <row r="117" spans="2:6">
      <c r="B117" t="str">
        <f>Mutationen_einfügen!H117</f>
        <v/>
      </c>
      <c r="C117" t="str">
        <f t="shared" si="4"/>
        <v/>
      </c>
      <c r="D117" t="str">
        <f>Mutationen_einfügen!I117</f>
        <v/>
      </c>
      <c r="E117" t="str">
        <f>Mutationen_einfügen!J117</f>
        <v/>
      </c>
      <c r="F117" t="b">
        <f t="shared" si="2"/>
        <v>1</v>
      </c>
    </row>
    <row r="118" spans="2:6">
      <c r="B118" t="str">
        <f>Mutationen_einfügen!H118</f>
        <v/>
      </c>
      <c r="C118" t="str">
        <f t="shared" si="4"/>
        <v/>
      </c>
      <c r="D118" t="str">
        <f>Mutationen_einfügen!I118</f>
        <v/>
      </c>
      <c r="E118" t="str">
        <f>Mutationen_einfügen!J118</f>
        <v/>
      </c>
      <c r="F118" t="b">
        <f t="shared" si="2"/>
        <v>1</v>
      </c>
    </row>
    <row r="119" spans="2:6">
      <c r="B119" t="str">
        <f>Mutationen_einfügen!H119</f>
        <v/>
      </c>
      <c r="C119" t="str">
        <f t="shared" si="4"/>
        <v/>
      </c>
      <c r="D119" t="str">
        <f>Mutationen_einfügen!I119</f>
        <v/>
      </c>
      <c r="E119" t="str">
        <f>Mutationen_einfügen!J119</f>
        <v/>
      </c>
      <c r="F119" t="b">
        <f t="shared" si="2"/>
        <v>1</v>
      </c>
    </row>
    <row r="120" spans="2:6">
      <c r="B120" t="str">
        <f>Mutationen_einfügen!H120</f>
        <v/>
      </c>
      <c r="C120" t="str">
        <f t="shared" si="4"/>
        <v/>
      </c>
      <c r="D120" t="str">
        <f>Mutationen_einfügen!I120</f>
        <v/>
      </c>
      <c r="E120" t="str">
        <f>Mutationen_einfügen!J120</f>
        <v/>
      </c>
      <c r="F120" t="b">
        <f t="shared" si="2"/>
        <v>1</v>
      </c>
    </row>
    <row r="121" spans="2:6">
      <c r="B121">
        <f>Mutationen_einfügen!H121</f>
        <v>0</v>
      </c>
      <c r="C121">
        <f t="shared" si="4"/>
        <v>2</v>
      </c>
      <c r="D121" t="str">
        <f>Mutationen_einfügen!I121</f>
        <v/>
      </c>
      <c r="E121" t="str">
        <f>Mutationen_einfügen!J121</f>
        <v/>
      </c>
      <c r="F121" t="b">
        <f t="shared" si="2"/>
        <v>1</v>
      </c>
    </row>
    <row r="122" spans="2:6">
      <c r="B122" t="str">
        <f>Mutationen_einfügen!H122</f>
        <v/>
      </c>
      <c r="C122" t="str">
        <f t="shared" si="4"/>
        <v/>
      </c>
      <c r="D122" t="str">
        <f>Mutationen_einfügen!I122</f>
        <v/>
      </c>
      <c r="E122" t="str">
        <f>Mutationen_einfügen!J122</f>
        <v/>
      </c>
      <c r="F122" t="b">
        <f t="shared" si="2"/>
        <v>1</v>
      </c>
    </row>
    <row r="123" spans="2:6">
      <c r="B123" t="str">
        <f>Mutationen_einfügen!H123</f>
        <v/>
      </c>
      <c r="C123" t="str">
        <f t="shared" si="4"/>
        <v/>
      </c>
      <c r="D123" t="str">
        <f>Mutationen_einfügen!I123</f>
        <v/>
      </c>
      <c r="E123" t="str">
        <f>Mutationen_einfügen!J123</f>
        <v/>
      </c>
      <c r="F123" t="b">
        <f t="shared" si="2"/>
        <v>1</v>
      </c>
    </row>
    <row r="124" spans="2:6">
      <c r="B124" t="str">
        <f>Mutationen_einfügen!H124</f>
        <v/>
      </c>
      <c r="C124" t="str">
        <f t="shared" si="4"/>
        <v/>
      </c>
      <c r="D124" t="str">
        <f>Mutationen_einfügen!I124</f>
        <v/>
      </c>
      <c r="E124" t="str">
        <f>Mutationen_einfügen!J124</f>
        <v/>
      </c>
      <c r="F124" t="b">
        <f t="shared" si="2"/>
        <v>1</v>
      </c>
    </row>
    <row r="125" spans="2:6">
      <c r="B125" t="str">
        <f>Mutationen_einfügen!H125</f>
        <v/>
      </c>
      <c r="C125" t="str">
        <f t="shared" si="4"/>
        <v/>
      </c>
      <c r="D125" t="str">
        <f>Mutationen_einfügen!I125</f>
        <v/>
      </c>
      <c r="E125" t="str">
        <f>Mutationen_einfügen!J125</f>
        <v/>
      </c>
      <c r="F125" t="b">
        <f t="shared" si="2"/>
        <v>1</v>
      </c>
    </row>
    <row r="126" spans="2:6">
      <c r="B126" t="str">
        <f>Mutationen_einfügen!H126</f>
        <v/>
      </c>
      <c r="C126" t="str">
        <f t="shared" si="4"/>
        <v/>
      </c>
      <c r="D126" t="str">
        <f>Mutationen_einfügen!I126</f>
        <v/>
      </c>
      <c r="E126" t="str">
        <f>Mutationen_einfügen!J126</f>
        <v/>
      </c>
      <c r="F126" t="b">
        <f t="shared" si="2"/>
        <v>1</v>
      </c>
    </row>
    <row r="127" spans="2:6">
      <c r="B127" t="str">
        <f>Mutationen_einfügen!H127</f>
        <v/>
      </c>
      <c r="C127" t="str">
        <f t="shared" si="4"/>
        <v/>
      </c>
      <c r="D127" t="str">
        <f>Mutationen_einfügen!I127</f>
        <v/>
      </c>
      <c r="E127" t="str">
        <f>Mutationen_einfügen!J127</f>
        <v/>
      </c>
      <c r="F127" t="b">
        <f t="shared" si="2"/>
        <v>1</v>
      </c>
    </row>
    <row r="128" spans="2:6">
      <c r="B128">
        <f>Mutationen_einfügen!H128</f>
        <v>0</v>
      </c>
      <c r="C128">
        <f t="shared" si="4"/>
        <v>2</v>
      </c>
      <c r="D128" t="str">
        <f>Mutationen_einfügen!I128</f>
        <v/>
      </c>
      <c r="E128" t="str">
        <f>Mutationen_einfügen!J128</f>
        <v/>
      </c>
      <c r="F128" t="b">
        <f t="shared" si="2"/>
        <v>1</v>
      </c>
    </row>
    <row r="129" spans="2:6">
      <c r="B129" t="str">
        <f>Mutationen_einfügen!H129</f>
        <v/>
      </c>
      <c r="C129" t="str">
        <f t="shared" si="4"/>
        <v/>
      </c>
      <c r="D129" t="str">
        <f>Mutationen_einfügen!I129</f>
        <v/>
      </c>
      <c r="E129" t="str">
        <f>Mutationen_einfügen!J129</f>
        <v/>
      </c>
      <c r="F129" t="b">
        <f t="shared" si="2"/>
        <v>1</v>
      </c>
    </row>
    <row r="130" spans="2:6">
      <c r="B130" t="str">
        <f>Mutationen_einfügen!H130</f>
        <v/>
      </c>
      <c r="C130" t="str">
        <f t="shared" si="4"/>
        <v/>
      </c>
      <c r="D130" t="str">
        <f>Mutationen_einfügen!I130</f>
        <v/>
      </c>
      <c r="E130" t="str">
        <f>Mutationen_einfügen!J130</f>
        <v/>
      </c>
      <c r="F130" t="b">
        <f t="shared" ref="F130:F193" si="5">EXACT(D130,E130)</f>
        <v>1</v>
      </c>
    </row>
    <row r="131" spans="2:6">
      <c r="B131" t="str">
        <f>Mutationen_einfügen!H131</f>
        <v/>
      </c>
      <c r="C131" t="str">
        <f t="shared" si="4"/>
        <v/>
      </c>
      <c r="D131" t="str">
        <f>Mutationen_einfügen!I131</f>
        <v/>
      </c>
      <c r="E131" t="str">
        <f>Mutationen_einfügen!J131</f>
        <v/>
      </c>
      <c r="F131" t="b">
        <f t="shared" si="5"/>
        <v>1</v>
      </c>
    </row>
    <row r="132" spans="2:6">
      <c r="B132" t="str">
        <f>Mutationen_einfügen!H132</f>
        <v/>
      </c>
      <c r="C132" t="str">
        <f t="shared" si="4"/>
        <v/>
      </c>
      <c r="D132" t="str">
        <f>Mutationen_einfügen!I132</f>
        <v/>
      </c>
      <c r="E132" t="str">
        <f>Mutationen_einfügen!J132</f>
        <v/>
      </c>
      <c r="F132" t="b">
        <f t="shared" si="5"/>
        <v>1</v>
      </c>
    </row>
    <row r="133" spans="2:6">
      <c r="B133" t="str">
        <f>Mutationen_einfügen!H133</f>
        <v/>
      </c>
      <c r="C133" t="str">
        <f t="shared" si="4"/>
        <v/>
      </c>
      <c r="D133" t="str">
        <f>Mutationen_einfügen!I133</f>
        <v/>
      </c>
      <c r="E133" t="str">
        <f>Mutationen_einfügen!J133</f>
        <v/>
      </c>
      <c r="F133" t="b">
        <f t="shared" si="5"/>
        <v>1</v>
      </c>
    </row>
    <row r="134" spans="2:6">
      <c r="B134" t="str">
        <f>Mutationen_einfügen!H134</f>
        <v/>
      </c>
      <c r="C134" t="str">
        <f t="shared" si="4"/>
        <v/>
      </c>
      <c r="D134" t="str">
        <f>Mutationen_einfügen!I134</f>
        <v/>
      </c>
      <c r="E134" t="str">
        <f>Mutationen_einfügen!J134</f>
        <v/>
      </c>
      <c r="F134" t="b">
        <f t="shared" si="5"/>
        <v>1</v>
      </c>
    </row>
    <row r="135" spans="2:6">
      <c r="B135">
        <f>Mutationen_einfügen!H135</f>
        <v>0</v>
      </c>
      <c r="C135">
        <f t="shared" si="4"/>
        <v>2</v>
      </c>
      <c r="D135" t="str">
        <f>Mutationen_einfügen!I135</f>
        <v/>
      </c>
      <c r="E135" t="str">
        <f>Mutationen_einfügen!J135</f>
        <v/>
      </c>
      <c r="F135" t="b">
        <f t="shared" si="5"/>
        <v>1</v>
      </c>
    </row>
    <row r="136" spans="2:6">
      <c r="B136" t="str">
        <f>Mutationen_einfügen!H136</f>
        <v/>
      </c>
      <c r="C136" t="str">
        <f t="shared" si="4"/>
        <v/>
      </c>
      <c r="D136" t="str">
        <f>Mutationen_einfügen!I136</f>
        <v/>
      </c>
      <c r="E136" t="str">
        <f>Mutationen_einfügen!J136</f>
        <v/>
      </c>
      <c r="F136" t="b">
        <f t="shared" si="5"/>
        <v>1</v>
      </c>
    </row>
    <row r="137" spans="2:6">
      <c r="B137" t="str">
        <f>Mutationen_einfügen!H137</f>
        <v/>
      </c>
      <c r="C137" t="str">
        <f t="shared" si="4"/>
        <v/>
      </c>
      <c r="D137" t="str">
        <f>Mutationen_einfügen!I137</f>
        <v/>
      </c>
      <c r="E137" t="str">
        <f>Mutationen_einfügen!J137</f>
        <v/>
      </c>
      <c r="F137" t="b">
        <f t="shared" si="5"/>
        <v>1</v>
      </c>
    </row>
    <row r="138" spans="2:6">
      <c r="B138" t="str">
        <f>Mutationen_einfügen!H138</f>
        <v/>
      </c>
      <c r="C138" t="str">
        <f t="shared" si="4"/>
        <v/>
      </c>
      <c r="D138" t="str">
        <f>Mutationen_einfügen!I138</f>
        <v/>
      </c>
      <c r="E138" t="str">
        <f>Mutationen_einfügen!J138</f>
        <v/>
      </c>
      <c r="F138" t="b">
        <f t="shared" si="5"/>
        <v>1</v>
      </c>
    </row>
    <row r="139" spans="2:6">
      <c r="B139" t="str">
        <f>Mutationen_einfügen!H139</f>
        <v/>
      </c>
      <c r="C139" t="str">
        <f t="shared" si="4"/>
        <v/>
      </c>
      <c r="D139" t="str">
        <f>Mutationen_einfügen!I139</f>
        <v/>
      </c>
      <c r="E139" t="str">
        <f>Mutationen_einfügen!J139</f>
        <v/>
      </c>
      <c r="F139" t="b">
        <f t="shared" si="5"/>
        <v>1</v>
      </c>
    </row>
    <row r="140" spans="2:6">
      <c r="B140" t="str">
        <f>Mutationen_einfügen!H140</f>
        <v/>
      </c>
      <c r="C140" t="str">
        <f t="shared" si="4"/>
        <v/>
      </c>
      <c r="D140" t="str">
        <f>Mutationen_einfügen!I140</f>
        <v/>
      </c>
      <c r="E140" t="str">
        <f>Mutationen_einfügen!J140</f>
        <v/>
      </c>
      <c r="F140" t="b">
        <f t="shared" si="5"/>
        <v>1</v>
      </c>
    </row>
    <row r="141" spans="2:6">
      <c r="B141" t="str">
        <f>Mutationen_einfügen!H141</f>
        <v/>
      </c>
      <c r="C141" t="str">
        <f t="shared" si="4"/>
        <v/>
      </c>
      <c r="D141" t="str">
        <f>Mutationen_einfügen!I141</f>
        <v/>
      </c>
      <c r="E141" t="str">
        <f>Mutationen_einfügen!J141</f>
        <v/>
      </c>
      <c r="F141" t="b">
        <f t="shared" si="5"/>
        <v>1</v>
      </c>
    </row>
    <row r="142" spans="2:6">
      <c r="B142">
        <f>Mutationen_einfügen!H142</f>
        <v>0</v>
      </c>
      <c r="C142">
        <f t="shared" si="4"/>
        <v>2</v>
      </c>
      <c r="D142" t="str">
        <f>Mutationen_einfügen!I142</f>
        <v/>
      </c>
      <c r="E142" t="str">
        <f>Mutationen_einfügen!J142</f>
        <v/>
      </c>
      <c r="F142" t="b">
        <f t="shared" si="5"/>
        <v>1</v>
      </c>
    </row>
    <row r="143" spans="2:6">
      <c r="B143" t="str">
        <f>Mutationen_einfügen!H143</f>
        <v/>
      </c>
      <c r="C143" t="str">
        <f t="shared" si="4"/>
        <v/>
      </c>
      <c r="D143" t="str">
        <f>Mutationen_einfügen!I143</f>
        <v/>
      </c>
      <c r="E143" t="str">
        <f>Mutationen_einfügen!J143</f>
        <v/>
      </c>
      <c r="F143" t="b">
        <f t="shared" si="5"/>
        <v>1</v>
      </c>
    </row>
    <row r="144" spans="2:6">
      <c r="B144" t="str">
        <f>Mutationen_einfügen!H144</f>
        <v/>
      </c>
      <c r="C144" t="str">
        <f t="shared" si="4"/>
        <v/>
      </c>
      <c r="D144" t="str">
        <f>Mutationen_einfügen!I144</f>
        <v/>
      </c>
      <c r="E144" t="str">
        <f>Mutationen_einfügen!J144</f>
        <v/>
      </c>
      <c r="F144" t="b">
        <f t="shared" si="5"/>
        <v>1</v>
      </c>
    </row>
    <row r="145" spans="2:6">
      <c r="B145" t="str">
        <f>Mutationen_einfügen!H145</f>
        <v/>
      </c>
      <c r="C145" t="str">
        <f t="shared" si="4"/>
        <v/>
      </c>
      <c r="D145" t="str">
        <f>Mutationen_einfügen!I145</f>
        <v/>
      </c>
      <c r="E145" t="str">
        <f>Mutationen_einfügen!J145</f>
        <v/>
      </c>
      <c r="F145" t="b">
        <f t="shared" si="5"/>
        <v>1</v>
      </c>
    </row>
    <row r="146" spans="2:6">
      <c r="B146" t="str">
        <f>Mutationen_einfügen!H146</f>
        <v/>
      </c>
      <c r="C146" t="str">
        <f t="shared" si="4"/>
        <v/>
      </c>
      <c r="D146" t="str">
        <f>Mutationen_einfügen!I146</f>
        <v/>
      </c>
      <c r="E146" t="str">
        <f>Mutationen_einfügen!J146</f>
        <v/>
      </c>
      <c r="F146" t="b">
        <f t="shared" si="5"/>
        <v>1</v>
      </c>
    </row>
    <row r="147" spans="2:6">
      <c r="B147" t="str">
        <f>Mutationen_einfügen!H147</f>
        <v/>
      </c>
      <c r="C147" t="str">
        <f t="shared" si="4"/>
        <v/>
      </c>
      <c r="D147" t="str">
        <f>Mutationen_einfügen!I147</f>
        <v/>
      </c>
      <c r="E147" t="str">
        <f>Mutationen_einfügen!J147</f>
        <v/>
      </c>
      <c r="F147" t="b">
        <f t="shared" si="5"/>
        <v>1</v>
      </c>
    </row>
    <row r="148" spans="2:6">
      <c r="B148" t="str">
        <f>Mutationen_einfügen!H148</f>
        <v/>
      </c>
      <c r="C148" t="str">
        <f t="shared" si="4"/>
        <v/>
      </c>
      <c r="D148" t="str">
        <f>Mutationen_einfügen!I148</f>
        <v/>
      </c>
      <c r="E148" t="str">
        <f>Mutationen_einfügen!J148</f>
        <v/>
      </c>
      <c r="F148" t="b">
        <f t="shared" si="5"/>
        <v>1</v>
      </c>
    </row>
    <row r="149" spans="2:6">
      <c r="B149">
        <f>Mutationen_einfügen!H149</f>
        <v>0</v>
      </c>
      <c r="C149">
        <f t="shared" si="4"/>
        <v>2</v>
      </c>
      <c r="D149" t="str">
        <f>Mutationen_einfügen!I149</f>
        <v/>
      </c>
      <c r="E149" t="str">
        <f>Mutationen_einfügen!J149</f>
        <v/>
      </c>
      <c r="F149" t="b">
        <f t="shared" si="5"/>
        <v>1</v>
      </c>
    </row>
    <row r="150" spans="2:6">
      <c r="B150" t="str">
        <f>Mutationen_einfügen!H150</f>
        <v/>
      </c>
      <c r="C150" t="str">
        <f t="shared" si="4"/>
        <v/>
      </c>
      <c r="D150" t="str">
        <f>Mutationen_einfügen!I150</f>
        <v/>
      </c>
      <c r="E150" t="str">
        <f>Mutationen_einfügen!J150</f>
        <v/>
      </c>
      <c r="F150" t="b">
        <f t="shared" si="5"/>
        <v>1</v>
      </c>
    </row>
    <row r="151" spans="2:6">
      <c r="B151" t="str">
        <f>Mutationen_einfügen!H151</f>
        <v/>
      </c>
      <c r="C151" t="str">
        <f t="shared" si="4"/>
        <v/>
      </c>
      <c r="D151" t="str">
        <f>Mutationen_einfügen!I151</f>
        <v/>
      </c>
      <c r="E151" t="str">
        <f>Mutationen_einfügen!J151</f>
        <v/>
      </c>
      <c r="F151" t="b">
        <f t="shared" si="5"/>
        <v>1</v>
      </c>
    </row>
    <row r="152" spans="2:6">
      <c r="B152" t="str">
        <f>Mutationen_einfügen!H152</f>
        <v/>
      </c>
      <c r="C152" t="str">
        <f t="shared" si="4"/>
        <v/>
      </c>
      <c r="D152" t="str">
        <f>Mutationen_einfügen!I152</f>
        <v/>
      </c>
      <c r="E152" t="str">
        <f>Mutationen_einfügen!J152</f>
        <v/>
      </c>
      <c r="F152" t="b">
        <f t="shared" si="5"/>
        <v>1</v>
      </c>
    </row>
    <row r="153" spans="2:6">
      <c r="B153" t="str">
        <f>Mutationen_einfügen!H153</f>
        <v/>
      </c>
      <c r="C153" t="str">
        <f t="shared" si="4"/>
        <v/>
      </c>
      <c r="D153" t="str">
        <f>Mutationen_einfügen!I153</f>
        <v/>
      </c>
      <c r="E153" t="str">
        <f>Mutationen_einfügen!J153</f>
        <v/>
      </c>
      <c r="F153" t="b">
        <f t="shared" si="5"/>
        <v>1</v>
      </c>
    </row>
    <row r="154" spans="2:6">
      <c r="B154" t="str">
        <f>Mutationen_einfügen!H154</f>
        <v/>
      </c>
      <c r="C154" t="str">
        <f t="shared" si="4"/>
        <v/>
      </c>
      <c r="D154" t="str">
        <f>Mutationen_einfügen!I154</f>
        <v/>
      </c>
      <c r="E154" t="str">
        <f>Mutationen_einfügen!J154</f>
        <v/>
      </c>
      <c r="F154" t="b">
        <f t="shared" si="5"/>
        <v>1</v>
      </c>
    </row>
    <row r="155" spans="2:6">
      <c r="B155" t="str">
        <f>Mutationen_einfügen!H155</f>
        <v/>
      </c>
      <c r="C155" t="str">
        <f t="shared" si="4"/>
        <v/>
      </c>
      <c r="D155" t="str">
        <f>Mutationen_einfügen!I155</f>
        <v/>
      </c>
      <c r="E155" t="str">
        <f>Mutationen_einfügen!J155</f>
        <v/>
      </c>
      <c r="F155" t="b">
        <f t="shared" si="5"/>
        <v>1</v>
      </c>
    </row>
    <row r="156" spans="2:6">
      <c r="B156">
        <f>Mutationen_einfügen!H156</f>
        <v>0</v>
      </c>
      <c r="C156">
        <f t="shared" si="4"/>
        <v>2</v>
      </c>
      <c r="D156" t="str">
        <f>Mutationen_einfügen!I156</f>
        <v/>
      </c>
      <c r="E156">
        <f>Mutationen_einfügen!J156</f>
        <v>0</v>
      </c>
      <c r="F156" t="b">
        <f t="shared" si="5"/>
        <v>0</v>
      </c>
    </row>
    <row r="157" spans="2:6">
      <c r="B157" t="str">
        <f>Mutationen_einfügen!H157</f>
        <v/>
      </c>
      <c r="C157" t="str">
        <f t="shared" ref="C157:C220" si="6">IF(B157="","",B157+$A$2)</f>
        <v/>
      </c>
      <c r="D157">
        <f>Mutationen_einfügen!I157</f>
        <v>0</v>
      </c>
      <c r="E157" t="str">
        <f>Mutationen_einfügen!J157</f>
        <v/>
      </c>
      <c r="F157" t="b">
        <f t="shared" si="5"/>
        <v>0</v>
      </c>
    </row>
    <row r="158" spans="2:6">
      <c r="B158" t="str">
        <f>Mutationen_einfügen!H158</f>
        <v/>
      </c>
      <c r="C158" t="str">
        <f t="shared" si="6"/>
        <v/>
      </c>
      <c r="D158" t="str">
        <f>Mutationen_einfügen!I158</f>
        <v/>
      </c>
      <c r="E158" t="str">
        <f>Mutationen_einfügen!J158</f>
        <v/>
      </c>
      <c r="F158" t="b">
        <f t="shared" si="5"/>
        <v>1</v>
      </c>
    </row>
    <row r="159" spans="2:6">
      <c r="B159" t="str">
        <f>Mutationen_einfügen!H159</f>
        <v/>
      </c>
      <c r="C159" t="str">
        <f t="shared" si="6"/>
        <v/>
      </c>
      <c r="D159" t="str">
        <f>Mutationen_einfügen!I159</f>
        <v/>
      </c>
      <c r="E159" t="str">
        <f>Mutationen_einfügen!J159</f>
        <v/>
      </c>
      <c r="F159" t="b">
        <f t="shared" si="5"/>
        <v>1</v>
      </c>
    </row>
    <row r="160" spans="2:6">
      <c r="B160" t="str">
        <f>Mutationen_einfügen!H160</f>
        <v/>
      </c>
      <c r="C160" t="str">
        <f t="shared" si="6"/>
        <v/>
      </c>
      <c r="D160" t="str">
        <f>Mutationen_einfügen!I160</f>
        <v/>
      </c>
      <c r="E160" t="str">
        <f>Mutationen_einfügen!J160</f>
        <v/>
      </c>
      <c r="F160" t="b">
        <f t="shared" si="5"/>
        <v>1</v>
      </c>
    </row>
    <row r="161" spans="2:6">
      <c r="B161" t="str">
        <f>Mutationen_einfügen!H161</f>
        <v/>
      </c>
      <c r="C161" t="str">
        <f t="shared" si="6"/>
        <v/>
      </c>
      <c r="D161" t="str">
        <f>Mutationen_einfügen!I161</f>
        <v/>
      </c>
      <c r="E161" t="str">
        <f>Mutationen_einfügen!J161</f>
        <v/>
      </c>
      <c r="F161" t="b">
        <f t="shared" si="5"/>
        <v>1</v>
      </c>
    </row>
    <row r="162" spans="2:6">
      <c r="B162" t="str">
        <f>Mutationen_einfügen!H162</f>
        <v/>
      </c>
      <c r="C162" t="str">
        <f t="shared" si="6"/>
        <v/>
      </c>
      <c r="D162">
        <f>Mutationen_einfügen!I162</f>
        <v>0</v>
      </c>
      <c r="E162" t="str">
        <f>Mutationen_einfügen!J162</f>
        <v/>
      </c>
      <c r="F162" t="b">
        <f t="shared" si="5"/>
        <v>0</v>
      </c>
    </row>
    <row r="163" spans="2:6">
      <c r="B163">
        <f>Mutationen_einfügen!H163</f>
        <v>0</v>
      </c>
      <c r="C163">
        <f t="shared" si="6"/>
        <v>2</v>
      </c>
      <c r="D163" t="str">
        <f>Mutationen_einfügen!I163</f>
        <v/>
      </c>
      <c r="E163">
        <f>Mutationen_einfügen!J163</f>
        <v>0</v>
      </c>
      <c r="F163" t="b">
        <f t="shared" si="5"/>
        <v>0</v>
      </c>
    </row>
    <row r="164" spans="2:6">
      <c r="B164" t="str">
        <f>Mutationen_einfügen!H164</f>
        <v/>
      </c>
      <c r="C164" t="str">
        <f t="shared" si="6"/>
        <v/>
      </c>
      <c r="D164">
        <f>Mutationen_einfügen!I164</f>
        <v>0</v>
      </c>
      <c r="E164">
        <f>Mutationen_einfügen!J164</f>
        <v>0</v>
      </c>
      <c r="F164" t="b">
        <f t="shared" si="5"/>
        <v>1</v>
      </c>
    </row>
    <row r="165" spans="2:6">
      <c r="B165" t="str">
        <f>Mutationen_einfügen!H165</f>
        <v/>
      </c>
      <c r="C165" t="str">
        <f t="shared" si="6"/>
        <v/>
      </c>
      <c r="D165" t="str">
        <f>Mutationen_einfügen!I165</f>
        <v/>
      </c>
      <c r="E165">
        <f>Mutationen_einfügen!J165</f>
        <v>0</v>
      </c>
      <c r="F165" t="b">
        <f t="shared" si="5"/>
        <v>0</v>
      </c>
    </row>
    <row r="166" spans="2:6">
      <c r="B166" t="str">
        <f>Mutationen_einfügen!H166</f>
        <v/>
      </c>
      <c r="C166" t="str">
        <f t="shared" si="6"/>
        <v/>
      </c>
      <c r="D166" t="str">
        <f>Mutationen_einfügen!I166</f>
        <v/>
      </c>
      <c r="E166" t="str">
        <f>Mutationen_einfügen!J166</f>
        <v/>
      </c>
      <c r="F166" t="b">
        <f t="shared" si="5"/>
        <v>1</v>
      </c>
    </row>
    <row r="167" spans="2:6">
      <c r="B167" t="str">
        <f>Mutationen_einfügen!H167</f>
        <v/>
      </c>
      <c r="C167" t="str">
        <f t="shared" si="6"/>
        <v/>
      </c>
      <c r="D167" t="str">
        <f>Mutationen_einfügen!I167</f>
        <v/>
      </c>
      <c r="E167">
        <f>Mutationen_einfügen!J167</f>
        <v>0</v>
      </c>
      <c r="F167" t="b">
        <f t="shared" si="5"/>
        <v>0</v>
      </c>
    </row>
    <row r="168" spans="2:6">
      <c r="B168" t="str">
        <f>Mutationen_einfügen!H168</f>
        <v/>
      </c>
      <c r="C168" t="str">
        <f t="shared" si="6"/>
        <v/>
      </c>
      <c r="D168" t="str">
        <f>Mutationen_einfügen!I168</f>
        <v/>
      </c>
      <c r="E168" t="str">
        <f>Mutationen_einfügen!J168</f>
        <v/>
      </c>
      <c r="F168" t="b">
        <f t="shared" si="5"/>
        <v>1</v>
      </c>
    </row>
    <row r="169" spans="2:6">
      <c r="B169" t="str">
        <f>Mutationen_einfügen!H169</f>
        <v/>
      </c>
      <c r="C169" t="str">
        <f t="shared" si="6"/>
        <v/>
      </c>
      <c r="D169">
        <f>Mutationen_einfügen!I169</f>
        <v>0</v>
      </c>
      <c r="E169" t="str">
        <f>Mutationen_einfügen!J169</f>
        <v/>
      </c>
      <c r="F169" t="b">
        <f t="shared" si="5"/>
        <v>0</v>
      </c>
    </row>
    <row r="170" spans="2:6">
      <c r="B170">
        <f>Mutationen_einfügen!H170</f>
        <v>0</v>
      </c>
      <c r="C170">
        <f t="shared" si="6"/>
        <v>2</v>
      </c>
      <c r="D170">
        <f>Mutationen_einfügen!I170</f>
        <v>0</v>
      </c>
      <c r="E170">
        <f>Mutationen_einfügen!J170</f>
        <v>0</v>
      </c>
      <c r="F170" t="b">
        <f t="shared" si="5"/>
        <v>1</v>
      </c>
    </row>
    <row r="171" spans="2:6">
      <c r="B171">
        <f>Mutationen_einfügen!H171</f>
        <v>0</v>
      </c>
      <c r="C171">
        <f t="shared" si="6"/>
        <v>2</v>
      </c>
      <c r="D171">
        <f>Mutationen_einfügen!I171</f>
        <v>0</v>
      </c>
      <c r="E171">
        <f>Mutationen_einfügen!J171</f>
        <v>0</v>
      </c>
      <c r="F171" t="b">
        <f t="shared" si="5"/>
        <v>1</v>
      </c>
    </row>
    <row r="172" spans="2:6">
      <c r="B172">
        <f>Mutationen_einfügen!H172</f>
        <v>0</v>
      </c>
      <c r="C172">
        <f t="shared" si="6"/>
        <v>2</v>
      </c>
      <c r="D172">
        <f>Mutationen_einfügen!I172</f>
        <v>0</v>
      </c>
      <c r="E172">
        <f>Mutationen_einfügen!J172</f>
        <v>0</v>
      </c>
      <c r="F172" t="b">
        <f t="shared" si="5"/>
        <v>1</v>
      </c>
    </row>
    <row r="173" spans="2:6">
      <c r="B173">
        <f>Mutationen_einfügen!H173</f>
        <v>0</v>
      </c>
      <c r="C173">
        <f t="shared" si="6"/>
        <v>2</v>
      </c>
      <c r="D173">
        <f>Mutationen_einfügen!I173</f>
        <v>0</v>
      </c>
      <c r="E173" t="str">
        <f>Mutationen_einfügen!J173</f>
        <v/>
      </c>
      <c r="F173" t="b">
        <f t="shared" si="5"/>
        <v>0</v>
      </c>
    </row>
    <row r="174" spans="2:6">
      <c r="B174">
        <f>Mutationen_einfügen!H174</f>
        <v>0</v>
      </c>
      <c r="C174">
        <f t="shared" si="6"/>
        <v>2</v>
      </c>
      <c r="D174">
        <f>Mutationen_einfügen!I174</f>
        <v>0</v>
      </c>
      <c r="E174">
        <f>Mutationen_einfügen!J174</f>
        <v>0</v>
      </c>
      <c r="F174" t="b">
        <f t="shared" si="5"/>
        <v>1</v>
      </c>
    </row>
    <row r="175" spans="2:6">
      <c r="B175">
        <f>Mutationen_einfügen!H175</f>
        <v>0</v>
      </c>
      <c r="C175">
        <f t="shared" si="6"/>
        <v>2</v>
      </c>
      <c r="D175">
        <f>Mutationen_einfügen!I175</f>
        <v>0</v>
      </c>
      <c r="E175">
        <f>Mutationen_einfügen!J175</f>
        <v>0</v>
      </c>
      <c r="F175" t="b">
        <f t="shared" si="5"/>
        <v>1</v>
      </c>
    </row>
    <row r="176" spans="2:6">
      <c r="B176">
        <f>Mutationen_einfügen!H176</f>
        <v>0</v>
      </c>
      <c r="C176">
        <f t="shared" si="6"/>
        <v>2</v>
      </c>
      <c r="D176">
        <f>Mutationen_einfügen!I176</f>
        <v>0</v>
      </c>
      <c r="E176">
        <f>Mutationen_einfügen!J176</f>
        <v>0</v>
      </c>
      <c r="F176" t="b">
        <f t="shared" si="5"/>
        <v>1</v>
      </c>
    </row>
    <row r="177" spans="2:6">
      <c r="B177">
        <f>Mutationen_einfügen!H177</f>
        <v>0</v>
      </c>
      <c r="C177">
        <f t="shared" si="6"/>
        <v>2</v>
      </c>
      <c r="D177">
        <f>Mutationen_einfügen!I177</f>
        <v>0</v>
      </c>
      <c r="E177">
        <f>Mutationen_einfügen!J177</f>
        <v>0</v>
      </c>
      <c r="F177" t="b">
        <f t="shared" si="5"/>
        <v>1</v>
      </c>
    </row>
    <row r="178" spans="2:6">
      <c r="B178">
        <f>Mutationen_einfügen!H178</f>
        <v>0</v>
      </c>
      <c r="C178">
        <f t="shared" si="6"/>
        <v>2</v>
      </c>
      <c r="D178">
        <f>Mutationen_einfügen!I178</f>
        <v>0</v>
      </c>
      <c r="E178">
        <f>Mutationen_einfügen!J178</f>
        <v>0</v>
      </c>
      <c r="F178" t="b">
        <f t="shared" si="5"/>
        <v>1</v>
      </c>
    </row>
    <row r="179" spans="2:6">
      <c r="B179">
        <f>Mutationen_einfügen!H179</f>
        <v>0</v>
      </c>
      <c r="C179">
        <f t="shared" si="6"/>
        <v>2</v>
      </c>
      <c r="D179">
        <f>Mutationen_einfügen!I179</f>
        <v>0</v>
      </c>
      <c r="E179">
        <f>Mutationen_einfügen!J179</f>
        <v>0</v>
      </c>
      <c r="F179" t="b">
        <f t="shared" si="5"/>
        <v>1</v>
      </c>
    </row>
    <row r="180" spans="2:6">
      <c r="B180">
        <f>Mutationen_einfügen!H180</f>
        <v>0</v>
      </c>
      <c r="C180">
        <f t="shared" si="6"/>
        <v>2</v>
      </c>
      <c r="D180">
        <f>Mutationen_einfügen!I180</f>
        <v>0</v>
      </c>
      <c r="E180">
        <f>Mutationen_einfügen!J180</f>
        <v>0</v>
      </c>
      <c r="F180" t="b">
        <f t="shared" si="5"/>
        <v>1</v>
      </c>
    </row>
    <row r="181" spans="2:6">
      <c r="B181">
        <f>Mutationen_einfügen!H181</f>
        <v>0</v>
      </c>
      <c r="C181">
        <f t="shared" si="6"/>
        <v>2</v>
      </c>
      <c r="D181">
        <f>Mutationen_einfügen!I181</f>
        <v>0</v>
      </c>
      <c r="E181">
        <f>Mutationen_einfügen!J181</f>
        <v>0</v>
      </c>
      <c r="F181" t="b">
        <f t="shared" si="5"/>
        <v>1</v>
      </c>
    </row>
    <row r="182" spans="2:6">
      <c r="B182">
        <f>Mutationen_einfügen!H182</f>
        <v>0</v>
      </c>
      <c r="C182">
        <f t="shared" si="6"/>
        <v>2</v>
      </c>
      <c r="D182">
        <f>Mutationen_einfügen!I182</f>
        <v>0</v>
      </c>
      <c r="E182">
        <f>Mutationen_einfügen!J182</f>
        <v>0</v>
      </c>
      <c r="F182" t="b">
        <f t="shared" si="5"/>
        <v>1</v>
      </c>
    </row>
    <row r="183" spans="2:6">
      <c r="B183">
        <f>Mutationen_einfügen!H183</f>
        <v>0</v>
      </c>
      <c r="C183">
        <f t="shared" si="6"/>
        <v>2</v>
      </c>
      <c r="D183">
        <f>Mutationen_einfügen!I183</f>
        <v>0</v>
      </c>
      <c r="E183">
        <f>Mutationen_einfügen!J183</f>
        <v>0</v>
      </c>
      <c r="F183" t="b">
        <f t="shared" si="5"/>
        <v>1</v>
      </c>
    </row>
    <row r="184" spans="2:6">
      <c r="B184">
        <f>Mutationen_einfügen!H184</f>
        <v>0</v>
      </c>
      <c r="C184">
        <f t="shared" si="6"/>
        <v>2</v>
      </c>
      <c r="D184">
        <f>Mutationen_einfügen!I184</f>
        <v>0</v>
      </c>
      <c r="E184">
        <f>Mutationen_einfügen!J184</f>
        <v>0</v>
      </c>
      <c r="F184" t="b">
        <f t="shared" si="5"/>
        <v>1</v>
      </c>
    </row>
    <row r="185" spans="2:6">
      <c r="B185">
        <f>Mutationen_einfügen!H185</f>
        <v>0</v>
      </c>
      <c r="C185">
        <f t="shared" si="6"/>
        <v>2</v>
      </c>
      <c r="D185">
        <f>Mutationen_einfügen!I185</f>
        <v>0</v>
      </c>
      <c r="E185">
        <f>Mutationen_einfügen!J185</f>
        <v>0</v>
      </c>
      <c r="F185" t="b">
        <f t="shared" si="5"/>
        <v>1</v>
      </c>
    </row>
    <row r="186" spans="2:6">
      <c r="B186">
        <f>Mutationen_einfügen!H186</f>
        <v>0</v>
      </c>
      <c r="C186">
        <f t="shared" si="6"/>
        <v>2</v>
      </c>
      <c r="D186">
        <f>Mutationen_einfügen!I186</f>
        <v>0</v>
      </c>
      <c r="E186">
        <f>Mutationen_einfügen!J186</f>
        <v>0</v>
      </c>
      <c r="F186" t="b">
        <f t="shared" si="5"/>
        <v>1</v>
      </c>
    </row>
    <row r="187" spans="2:6">
      <c r="B187">
        <f>Mutationen_einfügen!H187</f>
        <v>0</v>
      </c>
      <c r="C187">
        <f t="shared" si="6"/>
        <v>2</v>
      </c>
      <c r="D187">
        <f>Mutationen_einfügen!I187</f>
        <v>0</v>
      </c>
      <c r="E187">
        <f>Mutationen_einfügen!J187</f>
        <v>0</v>
      </c>
      <c r="F187" t="b">
        <f t="shared" si="5"/>
        <v>1</v>
      </c>
    </row>
    <row r="188" spans="2:6">
      <c r="B188">
        <f>Mutationen_einfügen!H188</f>
        <v>0</v>
      </c>
      <c r="C188">
        <f t="shared" si="6"/>
        <v>2</v>
      </c>
      <c r="D188">
        <f>Mutationen_einfügen!I188</f>
        <v>0</v>
      </c>
      <c r="E188">
        <f>Mutationen_einfügen!J188</f>
        <v>0</v>
      </c>
      <c r="F188" t="b">
        <f t="shared" si="5"/>
        <v>1</v>
      </c>
    </row>
    <row r="189" spans="2:6">
      <c r="B189">
        <f>Mutationen_einfügen!H189</f>
        <v>0</v>
      </c>
      <c r="C189">
        <f t="shared" si="6"/>
        <v>2</v>
      </c>
      <c r="D189">
        <f>Mutationen_einfügen!I189</f>
        <v>0</v>
      </c>
      <c r="E189">
        <f>Mutationen_einfügen!J189</f>
        <v>0</v>
      </c>
      <c r="F189" t="b">
        <f t="shared" si="5"/>
        <v>1</v>
      </c>
    </row>
    <row r="190" spans="2:6">
      <c r="B190">
        <f>Mutationen_einfügen!H190</f>
        <v>0</v>
      </c>
      <c r="C190">
        <f t="shared" si="6"/>
        <v>2</v>
      </c>
      <c r="D190">
        <f>Mutationen_einfügen!I190</f>
        <v>0</v>
      </c>
      <c r="E190">
        <f>Mutationen_einfügen!J190</f>
        <v>0</v>
      </c>
      <c r="F190" t="b">
        <f t="shared" si="5"/>
        <v>1</v>
      </c>
    </row>
    <row r="191" spans="2:6">
      <c r="B191">
        <f>Mutationen_einfügen!H191</f>
        <v>0</v>
      </c>
      <c r="C191">
        <f t="shared" si="6"/>
        <v>2</v>
      </c>
      <c r="D191">
        <f>Mutationen_einfügen!I191</f>
        <v>0</v>
      </c>
      <c r="E191">
        <f>Mutationen_einfügen!J191</f>
        <v>0</v>
      </c>
      <c r="F191" t="b">
        <f t="shared" si="5"/>
        <v>1</v>
      </c>
    </row>
    <row r="192" spans="2:6">
      <c r="B192">
        <f>Mutationen_einfügen!H192</f>
        <v>0</v>
      </c>
      <c r="C192">
        <f t="shared" si="6"/>
        <v>2</v>
      </c>
      <c r="D192">
        <f>Mutationen_einfügen!I192</f>
        <v>0</v>
      </c>
      <c r="E192">
        <f>Mutationen_einfügen!J192</f>
        <v>0</v>
      </c>
      <c r="F192" t="b">
        <f t="shared" si="5"/>
        <v>1</v>
      </c>
    </row>
    <row r="193" spans="2:6">
      <c r="B193">
        <f>Mutationen_einfügen!H193</f>
        <v>0</v>
      </c>
      <c r="C193">
        <f t="shared" si="6"/>
        <v>2</v>
      </c>
      <c r="D193">
        <f>Mutationen_einfügen!I193</f>
        <v>0</v>
      </c>
      <c r="E193">
        <f>Mutationen_einfügen!J193</f>
        <v>0</v>
      </c>
      <c r="F193" t="b">
        <f t="shared" si="5"/>
        <v>1</v>
      </c>
    </row>
    <row r="194" spans="2:6">
      <c r="B194">
        <f>Mutationen_einfügen!H194</f>
        <v>0</v>
      </c>
      <c r="C194">
        <f t="shared" si="6"/>
        <v>2</v>
      </c>
      <c r="D194">
        <f>Mutationen_einfügen!I194</f>
        <v>0</v>
      </c>
      <c r="E194">
        <f>Mutationen_einfügen!J194</f>
        <v>0</v>
      </c>
      <c r="F194" t="b">
        <f t="shared" ref="F194:F232" si="7">EXACT(D194,E194)</f>
        <v>1</v>
      </c>
    </row>
    <row r="195" spans="2:6">
      <c r="B195">
        <f>Mutationen_einfügen!H195</f>
        <v>0</v>
      </c>
      <c r="C195">
        <f t="shared" si="6"/>
        <v>2</v>
      </c>
      <c r="D195">
        <f>Mutationen_einfügen!I195</f>
        <v>0</v>
      </c>
      <c r="E195">
        <f>Mutationen_einfügen!J195</f>
        <v>0</v>
      </c>
      <c r="F195" t="b">
        <f t="shared" si="7"/>
        <v>1</v>
      </c>
    </row>
    <row r="196" spans="2:6">
      <c r="B196">
        <f>Mutationen_einfügen!H196</f>
        <v>0</v>
      </c>
      <c r="C196">
        <f t="shared" si="6"/>
        <v>2</v>
      </c>
      <c r="D196">
        <f>Mutationen_einfügen!I196</f>
        <v>0</v>
      </c>
      <c r="E196">
        <f>Mutationen_einfügen!J196</f>
        <v>0</v>
      </c>
      <c r="F196" t="b">
        <f t="shared" si="7"/>
        <v>1</v>
      </c>
    </row>
    <row r="197" spans="2:6">
      <c r="B197">
        <f>Mutationen_einfügen!H197</f>
        <v>0</v>
      </c>
      <c r="C197">
        <f t="shared" si="6"/>
        <v>2</v>
      </c>
      <c r="D197">
        <f>Mutationen_einfügen!I197</f>
        <v>0</v>
      </c>
      <c r="E197">
        <f>Mutationen_einfügen!J197</f>
        <v>0</v>
      </c>
      <c r="F197" t="b">
        <f t="shared" si="7"/>
        <v>1</v>
      </c>
    </row>
    <row r="198" spans="2:6">
      <c r="B198">
        <f>Mutationen_einfügen!H198</f>
        <v>0</v>
      </c>
      <c r="C198">
        <f t="shared" si="6"/>
        <v>2</v>
      </c>
      <c r="D198">
        <f>Mutationen_einfügen!I198</f>
        <v>0</v>
      </c>
      <c r="E198">
        <f>Mutationen_einfügen!J198</f>
        <v>0</v>
      </c>
      <c r="F198" t="b">
        <f t="shared" si="7"/>
        <v>1</v>
      </c>
    </row>
    <row r="199" spans="2:6">
      <c r="B199">
        <f>Mutationen_einfügen!H199</f>
        <v>0</v>
      </c>
      <c r="C199">
        <f t="shared" si="6"/>
        <v>2</v>
      </c>
      <c r="D199">
        <f>Mutationen_einfügen!I199</f>
        <v>0</v>
      </c>
      <c r="E199">
        <f>Mutationen_einfügen!J199</f>
        <v>0</v>
      </c>
      <c r="F199" t="b">
        <f t="shared" si="7"/>
        <v>1</v>
      </c>
    </row>
    <row r="200" spans="2:6">
      <c r="B200">
        <f>Mutationen_einfügen!H200</f>
        <v>0</v>
      </c>
      <c r="C200">
        <f t="shared" si="6"/>
        <v>2</v>
      </c>
      <c r="D200">
        <f>Mutationen_einfügen!I200</f>
        <v>0</v>
      </c>
      <c r="E200">
        <f>Mutationen_einfügen!J200</f>
        <v>0</v>
      </c>
      <c r="F200" t="b">
        <f t="shared" si="7"/>
        <v>1</v>
      </c>
    </row>
    <row r="201" spans="2:6">
      <c r="B201">
        <f>Mutationen_einfügen!H201</f>
        <v>0</v>
      </c>
      <c r="C201">
        <f t="shared" si="6"/>
        <v>2</v>
      </c>
      <c r="D201">
        <f>Mutationen_einfügen!I201</f>
        <v>0</v>
      </c>
      <c r="E201">
        <f>Mutationen_einfügen!J201</f>
        <v>0</v>
      </c>
      <c r="F201" t="b">
        <f t="shared" si="7"/>
        <v>1</v>
      </c>
    </row>
    <row r="202" spans="2:6">
      <c r="B202">
        <f>Mutationen_einfügen!H202</f>
        <v>0</v>
      </c>
      <c r="C202">
        <f t="shared" si="6"/>
        <v>2</v>
      </c>
      <c r="D202">
        <f>Mutationen_einfügen!I202</f>
        <v>0</v>
      </c>
      <c r="E202">
        <f>Mutationen_einfügen!J202</f>
        <v>0</v>
      </c>
      <c r="F202" t="b">
        <f t="shared" si="7"/>
        <v>1</v>
      </c>
    </row>
    <row r="203" spans="2:6">
      <c r="B203">
        <f>Mutationen_einfügen!H203</f>
        <v>0</v>
      </c>
      <c r="C203">
        <f t="shared" si="6"/>
        <v>2</v>
      </c>
      <c r="D203">
        <f>Mutationen_einfügen!I203</f>
        <v>0</v>
      </c>
      <c r="E203">
        <f>Mutationen_einfügen!J203</f>
        <v>0</v>
      </c>
      <c r="F203" t="b">
        <f t="shared" si="7"/>
        <v>1</v>
      </c>
    </row>
    <row r="204" spans="2:6">
      <c r="B204">
        <f>Mutationen_einfügen!H204</f>
        <v>0</v>
      </c>
      <c r="C204">
        <f t="shared" si="6"/>
        <v>2</v>
      </c>
      <c r="D204">
        <f>Mutationen_einfügen!I204</f>
        <v>0</v>
      </c>
      <c r="E204">
        <f>Mutationen_einfügen!J204</f>
        <v>0</v>
      </c>
      <c r="F204" t="b">
        <f t="shared" si="7"/>
        <v>1</v>
      </c>
    </row>
    <row r="205" spans="2:6">
      <c r="B205">
        <f>Mutationen_einfügen!H205</f>
        <v>0</v>
      </c>
      <c r="C205">
        <f t="shared" si="6"/>
        <v>2</v>
      </c>
      <c r="D205">
        <f>Mutationen_einfügen!I205</f>
        <v>0</v>
      </c>
      <c r="E205">
        <f>Mutationen_einfügen!J205</f>
        <v>0</v>
      </c>
      <c r="F205" t="b">
        <f t="shared" si="7"/>
        <v>1</v>
      </c>
    </row>
    <row r="206" spans="2:6">
      <c r="B206">
        <f>Mutationen_einfügen!H206</f>
        <v>0</v>
      </c>
      <c r="C206">
        <f t="shared" si="6"/>
        <v>2</v>
      </c>
      <c r="D206">
        <f>Mutationen_einfügen!I206</f>
        <v>0</v>
      </c>
      <c r="E206">
        <f>Mutationen_einfügen!J206</f>
        <v>0</v>
      </c>
      <c r="F206" t="b">
        <f t="shared" si="7"/>
        <v>1</v>
      </c>
    </row>
    <row r="207" spans="2:6">
      <c r="B207">
        <f>Mutationen_einfügen!H207</f>
        <v>0</v>
      </c>
      <c r="C207">
        <f t="shared" si="6"/>
        <v>2</v>
      </c>
      <c r="D207">
        <f>Mutationen_einfügen!I207</f>
        <v>0</v>
      </c>
      <c r="E207">
        <f>Mutationen_einfügen!J207</f>
        <v>0</v>
      </c>
      <c r="F207" t="b">
        <f t="shared" si="7"/>
        <v>1</v>
      </c>
    </row>
    <row r="208" spans="2:6">
      <c r="B208">
        <f>Mutationen_einfügen!H208</f>
        <v>0</v>
      </c>
      <c r="C208">
        <f t="shared" si="6"/>
        <v>2</v>
      </c>
      <c r="D208">
        <f>Mutationen_einfügen!I208</f>
        <v>0</v>
      </c>
      <c r="E208">
        <f>Mutationen_einfügen!J208</f>
        <v>0</v>
      </c>
      <c r="F208" t="b">
        <f t="shared" si="7"/>
        <v>1</v>
      </c>
    </row>
    <row r="209" spans="2:6">
      <c r="B209">
        <f>Mutationen_einfügen!H209</f>
        <v>0</v>
      </c>
      <c r="C209">
        <f t="shared" si="6"/>
        <v>2</v>
      </c>
      <c r="D209">
        <f>Mutationen_einfügen!I209</f>
        <v>0</v>
      </c>
      <c r="E209">
        <f>Mutationen_einfügen!J209</f>
        <v>0</v>
      </c>
      <c r="F209" t="b">
        <f t="shared" si="7"/>
        <v>1</v>
      </c>
    </row>
    <row r="210" spans="2:6">
      <c r="B210">
        <f>Mutationen_einfügen!H210</f>
        <v>0</v>
      </c>
      <c r="C210">
        <f t="shared" si="6"/>
        <v>2</v>
      </c>
      <c r="D210">
        <f>Mutationen_einfügen!I210</f>
        <v>0</v>
      </c>
      <c r="E210">
        <f>Mutationen_einfügen!J210</f>
        <v>0</v>
      </c>
      <c r="F210" t="b">
        <f t="shared" si="7"/>
        <v>1</v>
      </c>
    </row>
    <row r="211" spans="2:6">
      <c r="B211">
        <f>Mutationen_einfügen!H211</f>
        <v>0</v>
      </c>
      <c r="C211">
        <f t="shared" si="6"/>
        <v>2</v>
      </c>
      <c r="D211">
        <f>Mutationen_einfügen!I211</f>
        <v>0</v>
      </c>
      <c r="E211">
        <f>Mutationen_einfügen!J211</f>
        <v>0</v>
      </c>
      <c r="F211" t="b">
        <f t="shared" si="7"/>
        <v>1</v>
      </c>
    </row>
    <row r="212" spans="2:6">
      <c r="B212">
        <f>Mutationen_einfügen!H212</f>
        <v>0</v>
      </c>
      <c r="C212">
        <f t="shared" si="6"/>
        <v>2</v>
      </c>
      <c r="D212">
        <f>Mutationen_einfügen!I212</f>
        <v>0</v>
      </c>
      <c r="E212">
        <f>Mutationen_einfügen!J212</f>
        <v>0</v>
      </c>
      <c r="F212" t="b">
        <f t="shared" si="7"/>
        <v>1</v>
      </c>
    </row>
    <row r="213" spans="2:6">
      <c r="B213">
        <f>Mutationen_einfügen!H213</f>
        <v>0</v>
      </c>
      <c r="C213">
        <f t="shared" si="6"/>
        <v>2</v>
      </c>
      <c r="D213">
        <f>Mutationen_einfügen!I213</f>
        <v>0</v>
      </c>
      <c r="E213">
        <f>Mutationen_einfügen!J213</f>
        <v>0</v>
      </c>
      <c r="F213" t="b">
        <f t="shared" si="7"/>
        <v>1</v>
      </c>
    </row>
    <row r="214" spans="2:6">
      <c r="B214">
        <f>Mutationen_einfügen!H214</f>
        <v>0</v>
      </c>
      <c r="C214">
        <f t="shared" si="6"/>
        <v>2</v>
      </c>
      <c r="D214">
        <f>Mutationen_einfügen!I214</f>
        <v>0</v>
      </c>
      <c r="E214">
        <f>Mutationen_einfügen!J214</f>
        <v>0</v>
      </c>
      <c r="F214" t="b">
        <f t="shared" si="7"/>
        <v>1</v>
      </c>
    </row>
    <row r="215" spans="2:6">
      <c r="B215">
        <f>Mutationen_einfügen!H215</f>
        <v>0</v>
      </c>
      <c r="C215">
        <f t="shared" si="6"/>
        <v>2</v>
      </c>
      <c r="D215">
        <f>Mutationen_einfügen!I215</f>
        <v>0</v>
      </c>
      <c r="E215">
        <f>Mutationen_einfügen!J215</f>
        <v>0</v>
      </c>
      <c r="F215" t="b">
        <f t="shared" si="7"/>
        <v>1</v>
      </c>
    </row>
    <row r="216" spans="2:6">
      <c r="B216">
        <f>Mutationen_einfügen!H216</f>
        <v>0</v>
      </c>
      <c r="C216">
        <f t="shared" si="6"/>
        <v>2</v>
      </c>
      <c r="D216">
        <f>Mutationen_einfügen!I216</f>
        <v>0</v>
      </c>
      <c r="E216">
        <f>Mutationen_einfügen!J216</f>
        <v>0</v>
      </c>
      <c r="F216" t="b">
        <f t="shared" si="7"/>
        <v>1</v>
      </c>
    </row>
    <row r="217" spans="2:6">
      <c r="B217">
        <f>Mutationen_einfügen!H217</f>
        <v>0</v>
      </c>
      <c r="C217">
        <f t="shared" si="6"/>
        <v>2</v>
      </c>
      <c r="D217">
        <f>Mutationen_einfügen!I217</f>
        <v>0</v>
      </c>
      <c r="E217">
        <f>Mutationen_einfügen!J217</f>
        <v>0</v>
      </c>
      <c r="F217" t="b">
        <f t="shared" si="7"/>
        <v>1</v>
      </c>
    </row>
    <row r="218" spans="2:6">
      <c r="B218">
        <f>Mutationen_einfügen!H218</f>
        <v>0</v>
      </c>
      <c r="C218">
        <f t="shared" si="6"/>
        <v>2</v>
      </c>
      <c r="D218">
        <f>Mutationen_einfügen!I218</f>
        <v>0</v>
      </c>
      <c r="E218">
        <f>Mutationen_einfügen!J218</f>
        <v>0</v>
      </c>
      <c r="F218" t="b">
        <f t="shared" si="7"/>
        <v>1</v>
      </c>
    </row>
    <row r="219" spans="2:6">
      <c r="B219">
        <f>Mutationen_einfügen!H219</f>
        <v>0</v>
      </c>
      <c r="C219">
        <f t="shared" si="6"/>
        <v>2</v>
      </c>
      <c r="D219">
        <f>Mutationen_einfügen!I219</f>
        <v>0</v>
      </c>
      <c r="E219">
        <f>Mutationen_einfügen!J219</f>
        <v>0</v>
      </c>
      <c r="F219" t="b">
        <f t="shared" si="7"/>
        <v>1</v>
      </c>
    </row>
    <row r="220" spans="2:6">
      <c r="B220">
        <f>Mutationen_einfügen!H220</f>
        <v>0</v>
      </c>
      <c r="C220">
        <f t="shared" si="6"/>
        <v>2</v>
      </c>
      <c r="D220">
        <f>Mutationen_einfügen!I220</f>
        <v>0</v>
      </c>
      <c r="E220">
        <f>Mutationen_einfügen!J220</f>
        <v>0</v>
      </c>
      <c r="F220" t="b">
        <f t="shared" si="7"/>
        <v>1</v>
      </c>
    </row>
    <row r="221" spans="2:6">
      <c r="B221">
        <f>Mutationen_einfügen!H221</f>
        <v>0</v>
      </c>
      <c r="C221">
        <f t="shared" ref="C221:C232" si="8">IF(B221="","",B221+$A$2)</f>
        <v>2</v>
      </c>
      <c r="D221">
        <f>Mutationen_einfügen!I221</f>
        <v>0</v>
      </c>
      <c r="E221">
        <f>Mutationen_einfügen!J221</f>
        <v>0</v>
      </c>
      <c r="F221" t="b">
        <f t="shared" si="7"/>
        <v>1</v>
      </c>
    </row>
    <row r="222" spans="2:6">
      <c r="B222">
        <f>Mutationen_einfügen!H222</f>
        <v>0</v>
      </c>
      <c r="C222">
        <f t="shared" si="8"/>
        <v>2</v>
      </c>
      <c r="D222">
        <f>Mutationen_einfügen!I222</f>
        <v>0</v>
      </c>
      <c r="E222">
        <f>Mutationen_einfügen!J222</f>
        <v>0</v>
      </c>
      <c r="F222" t="b">
        <f t="shared" si="7"/>
        <v>1</v>
      </c>
    </row>
    <row r="223" spans="2:6">
      <c r="B223">
        <f>Mutationen_einfügen!H223</f>
        <v>0</v>
      </c>
      <c r="C223">
        <f t="shared" si="8"/>
        <v>2</v>
      </c>
      <c r="D223">
        <f>Mutationen_einfügen!I223</f>
        <v>0</v>
      </c>
      <c r="E223">
        <f>Mutationen_einfügen!J223</f>
        <v>0</v>
      </c>
      <c r="F223" t="b">
        <f t="shared" si="7"/>
        <v>1</v>
      </c>
    </row>
    <row r="224" spans="2:6">
      <c r="B224">
        <f>Mutationen_einfügen!H224</f>
        <v>0</v>
      </c>
      <c r="C224">
        <f t="shared" si="8"/>
        <v>2</v>
      </c>
      <c r="D224">
        <f>Mutationen_einfügen!I224</f>
        <v>0</v>
      </c>
      <c r="E224">
        <f>Mutationen_einfügen!J224</f>
        <v>0</v>
      </c>
      <c r="F224" t="b">
        <f t="shared" si="7"/>
        <v>1</v>
      </c>
    </row>
    <row r="225" spans="2:6">
      <c r="B225">
        <f>Mutationen_einfügen!H225</f>
        <v>0</v>
      </c>
      <c r="C225">
        <f t="shared" si="8"/>
        <v>2</v>
      </c>
      <c r="D225">
        <f>Mutationen_einfügen!I225</f>
        <v>0</v>
      </c>
      <c r="E225">
        <f>Mutationen_einfügen!J225</f>
        <v>0</v>
      </c>
      <c r="F225" t="b">
        <f t="shared" si="7"/>
        <v>1</v>
      </c>
    </row>
    <row r="226" spans="2:6">
      <c r="B226">
        <f>Mutationen_einfügen!H226</f>
        <v>0</v>
      </c>
      <c r="C226">
        <f t="shared" si="8"/>
        <v>2</v>
      </c>
      <c r="D226">
        <f>Mutationen_einfügen!I226</f>
        <v>0</v>
      </c>
      <c r="E226">
        <f>Mutationen_einfügen!J226</f>
        <v>0</v>
      </c>
      <c r="F226" t="b">
        <f t="shared" si="7"/>
        <v>1</v>
      </c>
    </row>
    <row r="227" spans="2:6">
      <c r="B227">
        <f>Mutationen_einfügen!H227</f>
        <v>0</v>
      </c>
      <c r="C227">
        <f t="shared" si="8"/>
        <v>2</v>
      </c>
      <c r="D227">
        <f>Mutationen_einfügen!I227</f>
        <v>0</v>
      </c>
      <c r="E227">
        <f>Mutationen_einfügen!J227</f>
        <v>0</v>
      </c>
      <c r="F227" t="b">
        <f t="shared" si="7"/>
        <v>1</v>
      </c>
    </row>
    <row r="228" spans="2:6">
      <c r="B228">
        <f>Mutationen_einfügen!H228</f>
        <v>0</v>
      </c>
      <c r="C228">
        <f t="shared" si="8"/>
        <v>2</v>
      </c>
      <c r="D228">
        <f>Mutationen_einfügen!I228</f>
        <v>0</v>
      </c>
      <c r="E228">
        <f>Mutationen_einfügen!J228</f>
        <v>0</v>
      </c>
      <c r="F228" t="b">
        <f t="shared" si="7"/>
        <v>1</v>
      </c>
    </row>
    <row r="229" spans="2:6">
      <c r="B229">
        <f>Mutationen_einfügen!H229</f>
        <v>0</v>
      </c>
      <c r="C229">
        <f t="shared" si="8"/>
        <v>2</v>
      </c>
      <c r="D229">
        <f>Mutationen_einfügen!I229</f>
        <v>0</v>
      </c>
      <c r="E229">
        <f>Mutationen_einfügen!J229</f>
        <v>0</v>
      </c>
      <c r="F229" t="b">
        <f t="shared" si="7"/>
        <v>1</v>
      </c>
    </row>
    <row r="230" spans="2:6">
      <c r="B230">
        <f>Mutationen_einfügen!H230</f>
        <v>0</v>
      </c>
      <c r="C230">
        <f t="shared" si="8"/>
        <v>2</v>
      </c>
      <c r="D230">
        <f>Mutationen_einfügen!I230</f>
        <v>0</v>
      </c>
      <c r="E230">
        <f>Mutationen_einfügen!J230</f>
        <v>0</v>
      </c>
      <c r="F230" t="b">
        <f t="shared" si="7"/>
        <v>1</v>
      </c>
    </row>
    <row r="231" spans="2:6">
      <c r="B231">
        <f>Mutationen_einfügen!H231</f>
        <v>0</v>
      </c>
      <c r="C231">
        <f t="shared" si="8"/>
        <v>2</v>
      </c>
      <c r="D231">
        <f>Mutationen_einfügen!I231</f>
        <v>0</v>
      </c>
      <c r="E231">
        <f>Mutationen_einfügen!J231</f>
        <v>0</v>
      </c>
      <c r="F231" t="b">
        <f t="shared" si="7"/>
        <v>1</v>
      </c>
    </row>
    <row r="232" spans="2:6">
      <c r="B232">
        <f>Mutationen_einfügen!H232</f>
        <v>0</v>
      </c>
      <c r="C232">
        <f t="shared" si="8"/>
        <v>2</v>
      </c>
      <c r="D232">
        <f>Mutationen_einfügen!I232</f>
        <v>0</v>
      </c>
      <c r="E232">
        <f>Mutationen_einfügen!J232</f>
        <v>0</v>
      </c>
      <c r="F232" t="b">
        <f t="shared" si="7"/>
        <v>1</v>
      </c>
    </row>
  </sheetData>
  <autoFilter ref="A1:F232" xr:uid="{14AA4CCC-15C5-40DF-AA1A-171DFCBD525C}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Q40"/>
  <sheetViews>
    <sheetView workbookViewId="0">
      <selection activeCell="F24" sqref="F24"/>
    </sheetView>
  </sheetViews>
  <sheetFormatPr baseColWidth="10" defaultRowHeight="14.4"/>
  <cols>
    <col min="1" max="1" width="10.6640625" bestFit="1" customWidth="1"/>
    <col min="2" max="2" width="8.6640625" bestFit="1" customWidth="1"/>
    <col min="3" max="3" width="8.88671875" bestFit="1" customWidth="1"/>
    <col min="4" max="4" width="14.6640625" customWidth="1"/>
    <col min="5" max="5" width="5.44140625" style="11" bestFit="1" customWidth="1"/>
    <col min="6" max="6" width="68.88671875" style="11" bestFit="1" customWidth="1"/>
    <col min="7" max="7" width="5.44140625" style="11" bestFit="1" customWidth="1"/>
    <col min="9" max="9" width="5.88671875" bestFit="1" customWidth="1"/>
    <col min="10" max="10" width="68.88671875" bestFit="1" customWidth="1"/>
    <col min="11" max="11" width="5.88671875" bestFit="1" customWidth="1"/>
  </cols>
  <sheetData>
    <row r="1" spans="1:17" s="1" customFormat="1">
      <c r="A1" s="1" t="s">
        <v>1</v>
      </c>
      <c r="B1" s="1" t="s">
        <v>2</v>
      </c>
      <c r="C1" s="1" t="s">
        <v>3</v>
      </c>
      <c r="E1" s="11"/>
      <c r="F1" s="10" t="s">
        <v>4</v>
      </c>
      <c r="G1" s="11"/>
      <c r="J1" s="1" t="s">
        <v>5</v>
      </c>
    </row>
    <row r="2" spans="1:17">
      <c r="A2" s="14"/>
      <c r="E2" s="23">
        <v>24</v>
      </c>
      <c r="F2" s="18" t="s">
        <v>13</v>
      </c>
      <c r="G2" s="23">
        <v>83</v>
      </c>
      <c r="H2" s="11"/>
      <c r="I2" s="21"/>
      <c r="J2" s="18"/>
      <c r="K2" s="22"/>
      <c r="N2" s="15"/>
      <c r="O2" s="15"/>
      <c r="Q2" s="17"/>
    </row>
    <row r="3" spans="1:17">
      <c r="A3" s="14"/>
      <c r="E3" s="23">
        <v>84</v>
      </c>
      <c r="F3" s="18" t="s">
        <v>14</v>
      </c>
      <c r="G3" s="23">
        <v>143</v>
      </c>
      <c r="H3" s="11"/>
      <c r="I3" s="21"/>
      <c r="J3" s="18"/>
      <c r="K3" s="22"/>
      <c r="L3" s="15"/>
      <c r="M3" s="15"/>
      <c r="N3" s="16"/>
      <c r="O3" s="15"/>
    </row>
    <row r="4" spans="1:17">
      <c r="A4" s="14"/>
      <c r="E4" s="23">
        <v>144</v>
      </c>
      <c r="F4" s="18" t="s">
        <v>15</v>
      </c>
      <c r="G4" s="23">
        <v>203</v>
      </c>
      <c r="H4" s="11"/>
      <c r="I4" s="21"/>
      <c r="J4" s="18"/>
      <c r="K4" s="22"/>
    </row>
    <row r="5" spans="1:17">
      <c r="A5" s="14"/>
      <c r="E5" s="23">
        <v>204</v>
      </c>
      <c r="F5" s="18" t="s">
        <v>16</v>
      </c>
      <c r="G5" s="23">
        <v>263</v>
      </c>
      <c r="H5" s="11"/>
      <c r="I5" s="18"/>
      <c r="J5" s="18"/>
      <c r="K5" s="22"/>
    </row>
    <row r="6" spans="1:17">
      <c r="A6" s="14"/>
      <c r="E6" s="23">
        <v>264</v>
      </c>
      <c r="F6" s="18" t="s">
        <v>17</v>
      </c>
      <c r="G6" s="23">
        <v>323</v>
      </c>
      <c r="H6" s="11"/>
      <c r="I6" s="21"/>
      <c r="J6" s="18"/>
      <c r="K6" s="22"/>
    </row>
    <row r="7" spans="1:17">
      <c r="A7" s="14"/>
      <c r="E7" s="23">
        <v>324</v>
      </c>
      <c r="F7" s="18" t="s">
        <v>18</v>
      </c>
      <c r="G7" s="23">
        <v>383</v>
      </c>
      <c r="H7" s="18"/>
      <c r="I7" s="21"/>
      <c r="J7" s="18"/>
      <c r="K7" s="22"/>
    </row>
    <row r="8" spans="1:17">
      <c r="A8" s="14"/>
      <c r="E8" s="23">
        <v>384</v>
      </c>
      <c r="F8" s="18" t="s">
        <v>19</v>
      </c>
      <c r="G8" s="23">
        <v>443</v>
      </c>
      <c r="H8" s="11"/>
      <c r="I8" s="21"/>
      <c r="J8" s="18"/>
      <c r="K8" s="22"/>
    </row>
    <row r="9" spans="1:17">
      <c r="A9" s="14"/>
      <c r="E9" s="23">
        <v>444</v>
      </c>
      <c r="F9" s="18" t="s">
        <v>20</v>
      </c>
      <c r="G9" s="23">
        <v>503</v>
      </c>
      <c r="H9" s="11"/>
      <c r="I9" s="21"/>
      <c r="J9" s="18"/>
      <c r="K9" s="22"/>
    </row>
    <row r="10" spans="1:17">
      <c r="A10" s="14"/>
      <c r="E10" s="23">
        <v>504</v>
      </c>
      <c r="F10" s="18" t="s">
        <v>21</v>
      </c>
      <c r="G10" s="23">
        <v>563</v>
      </c>
      <c r="H10" s="11"/>
      <c r="I10" s="21"/>
      <c r="J10" s="18"/>
      <c r="K10" s="22"/>
    </row>
    <row r="11" spans="1:17">
      <c r="A11" s="14"/>
      <c r="E11" s="23">
        <v>564</v>
      </c>
      <c r="F11" s="18" t="s">
        <v>7</v>
      </c>
      <c r="G11" s="23">
        <v>623</v>
      </c>
      <c r="H11" s="11"/>
      <c r="I11" s="21"/>
      <c r="J11" s="18"/>
      <c r="K11" s="22"/>
    </row>
    <row r="12" spans="1:17">
      <c r="A12" s="14"/>
      <c r="E12" s="23">
        <v>624</v>
      </c>
      <c r="F12" s="18" t="s">
        <v>8</v>
      </c>
      <c r="G12" s="23">
        <v>683</v>
      </c>
      <c r="H12" s="11"/>
      <c r="I12" s="21"/>
      <c r="J12" s="18"/>
      <c r="K12" s="22"/>
    </row>
    <row r="13" spans="1:17">
      <c r="A13" s="14"/>
      <c r="E13" s="23">
        <v>684</v>
      </c>
      <c r="F13" s="18" t="s">
        <v>9</v>
      </c>
      <c r="G13" s="23">
        <v>743</v>
      </c>
      <c r="H13" s="11"/>
      <c r="I13" s="21"/>
      <c r="J13" s="18"/>
      <c r="K13" s="22"/>
    </row>
    <row r="14" spans="1:17">
      <c r="A14" s="14"/>
      <c r="E14" s="23">
        <v>744</v>
      </c>
      <c r="F14" s="18" t="s">
        <v>22</v>
      </c>
      <c r="G14" s="23">
        <v>803</v>
      </c>
      <c r="I14" s="22"/>
      <c r="J14" s="22"/>
      <c r="K14" s="22"/>
    </row>
    <row r="15" spans="1:17">
      <c r="A15" s="14"/>
      <c r="E15" s="23"/>
      <c r="F15" s="18"/>
      <c r="G15" s="23"/>
      <c r="I15" s="22"/>
      <c r="J15" s="22"/>
      <c r="K15" s="22"/>
    </row>
    <row r="16" spans="1:17">
      <c r="A16" s="14"/>
      <c r="E16" s="23"/>
      <c r="F16" s="18"/>
      <c r="G16" s="23"/>
      <c r="I16" s="22"/>
      <c r="J16" s="22"/>
      <c r="K16" s="22"/>
    </row>
    <row r="17" spans="1:11">
      <c r="A17" s="14"/>
      <c r="E17" s="23"/>
      <c r="F17" s="18"/>
      <c r="G17" s="23"/>
      <c r="I17" s="22"/>
      <c r="J17" s="22"/>
      <c r="K17" s="22"/>
    </row>
    <row r="18" spans="1:11">
      <c r="A18" s="14"/>
      <c r="E18" s="23"/>
      <c r="F18" s="18"/>
      <c r="G18" s="23"/>
      <c r="I18" s="22"/>
      <c r="J18" s="22"/>
      <c r="K18" s="22"/>
    </row>
    <row r="19" spans="1:11">
      <c r="A19" s="14"/>
      <c r="C19" s="20"/>
      <c r="E19" s="23"/>
      <c r="F19" s="18"/>
      <c r="G19" s="23"/>
      <c r="I19" s="22"/>
      <c r="J19" s="22"/>
      <c r="K19" s="22"/>
    </row>
    <row r="20" spans="1:11">
      <c r="A20" s="14"/>
      <c r="E20" s="23"/>
      <c r="F20" s="18"/>
      <c r="G20" s="23"/>
      <c r="I20" s="22"/>
      <c r="J20" s="22"/>
      <c r="K20" s="22"/>
    </row>
    <row r="21" spans="1:11">
      <c r="A21" s="14"/>
      <c r="E21" s="23"/>
      <c r="F21" s="18"/>
      <c r="G21" s="23"/>
      <c r="I21" s="22"/>
      <c r="J21" s="22"/>
      <c r="K21" s="22"/>
    </row>
    <row r="22" spans="1:11">
      <c r="A22" s="14"/>
    </row>
    <row r="23" spans="1:11">
      <c r="A23" s="14"/>
    </row>
    <row r="24" spans="1:11">
      <c r="A24" s="14"/>
      <c r="F24" s="18"/>
    </row>
    <row r="25" spans="1:11">
      <c r="A25" s="14"/>
      <c r="F25" s="18"/>
    </row>
    <row r="26" spans="1:11">
      <c r="A26" s="14"/>
      <c r="F26" s="18"/>
    </row>
    <row r="27" spans="1:11">
      <c r="A27" s="14"/>
      <c r="F27" s="18"/>
    </row>
    <row r="28" spans="1:11">
      <c r="A28" s="14"/>
      <c r="F28" s="18"/>
    </row>
    <row r="29" spans="1:11">
      <c r="A29" s="14"/>
      <c r="F29" s="18"/>
    </row>
    <row r="30" spans="1:11">
      <c r="A30" s="14"/>
      <c r="F30" s="18"/>
    </row>
    <row r="31" spans="1:11">
      <c r="A31" s="14"/>
      <c r="F31" s="18"/>
    </row>
    <row r="32" spans="1:11">
      <c r="A32" s="14"/>
    </row>
    <row r="33" spans="1:1">
      <c r="A33" s="14"/>
    </row>
    <row r="34" spans="1:1">
      <c r="A34" s="14"/>
    </row>
    <row r="35" spans="1:1">
      <c r="A35" s="14"/>
    </row>
    <row r="36" spans="1:1">
      <c r="A36" s="14"/>
    </row>
    <row r="37" spans="1:1">
      <c r="A37" s="14"/>
    </row>
    <row r="38" spans="1:1">
      <c r="A38" s="14"/>
    </row>
    <row r="39" spans="1:1">
      <c r="A39" s="19"/>
    </row>
    <row r="40" spans="1:1">
      <c r="A40" s="19"/>
    </row>
  </sheetData>
  <sortState xmlns:xlrd2="http://schemas.microsoft.com/office/spreadsheetml/2017/richdata2" ref="E2:G18">
    <sortCondition ref="E2"/>
  </sortState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utation">
                <anchor moveWithCells="1" sizeWithCells="1">
                  <from>
                    <xdr:col>3</xdr:col>
                    <xdr:colOff>0</xdr:colOff>
                    <xdr:row>3</xdr:row>
                    <xdr:rowOff>99060</xdr:rowOff>
                  </from>
                  <to>
                    <xdr:col>3</xdr:col>
                    <xdr:colOff>762000</xdr:colOff>
                    <xdr:row>5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1</vt:i4>
      </vt:variant>
    </vt:vector>
  </HeadingPairs>
  <TitlesOfParts>
    <vt:vector size="5" baseType="lpstr">
      <vt:lpstr>Sheet_Coloraa</vt:lpstr>
      <vt:lpstr>Mutationen_einfügen</vt:lpstr>
      <vt:lpstr>Mutiert</vt:lpstr>
      <vt:lpstr>Sheet_Mutation</vt:lpstr>
      <vt:lpstr>Sheet_Mutation!_Hlk89779915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Michelle</dc:creator>
  <cp:lastModifiedBy>Michelle</cp:lastModifiedBy>
  <dcterms:created xsi:type="dcterms:W3CDTF">2021-11-29T06:40:23Z</dcterms:created>
  <dcterms:modified xsi:type="dcterms:W3CDTF">2022-03-15T15:53:06Z</dcterms:modified>
</cp:coreProperties>
</file>